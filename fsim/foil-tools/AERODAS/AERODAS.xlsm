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2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Z:\DESKTOP\180\AERODAS manuscript\AERODAS - with Table\sil\"/>
    </mc:Choice>
  </mc:AlternateContent>
  <xr:revisionPtr revIDLastSave="0" documentId="13_ncr:1_{6C9C8388-73A1-41FE-95A1-960CF9CA6971}" xr6:coauthVersionLast="41" xr6:coauthVersionMax="41" xr10:uidLastSave="{00000000-0000-0000-0000-000000000000}"/>
  <bookViews>
    <workbookView xWindow="-60" yWindow="-60" windowWidth="38520" windowHeight="23700" xr2:uid="{00000000-000D-0000-FFFF-FFFF00000000}"/>
  </bookViews>
  <sheets>
    <sheet name="data" sheetId="1" r:id="rId1"/>
    <sheet name="calculations" sheetId="2" r:id="rId2"/>
    <sheet name="table_input" sheetId="3" r:id="rId3"/>
  </sheets>
  <definedNames>
    <definedName name="angles">calculations!$AA$36:$AA$246</definedName>
    <definedName name="positiveCD2">calculations!$AH$36:$AH$246</definedName>
    <definedName name="positiveCL2">calculations!$AC$36:$AC$246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34" i="2" l="1"/>
  <c r="K38" i="1" l="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37" i="1"/>
  <c r="G46" i="2"/>
  <c r="G47" i="2"/>
  <c r="G48" i="2"/>
  <c r="U29" i="2"/>
  <c r="V82" i="2" s="1"/>
  <c r="G49" i="2"/>
  <c r="G50" i="2"/>
  <c r="G51" i="2"/>
  <c r="G52" i="2"/>
  <c r="G53" i="2"/>
  <c r="G54" i="2"/>
  <c r="G55" i="2"/>
  <c r="G56" i="2"/>
  <c r="G57" i="2"/>
  <c r="G58" i="2"/>
  <c r="G59" i="2"/>
  <c r="G60" i="2"/>
  <c r="G61" i="2"/>
  <c r="G62" i="2"/>
  <c r="G63" i="2"/>
  <c r="G64" i="2"/>
  <c r="G65" i="2"/>
  <c r="G66" i="2"/>
  <c r="G67" i="2"/>
  <c r="G68" i="2"/>
  <c r="G69" i="2"/>
  <c r="G70" i="2"/>
  <c r="G71" i="2"/>
  <c r="G72" i="2"/>
  <c r="G73" i="2"/>
  <c r="G74" i="2"/>
  <c r="G75" i="2"/>
  <c r="S13" i="2"/>
  <c r="S9" i="2"/>
  <c r="I69" i="2"/>
  <c r="I52" i="2"/>
  <c r="G44" i="2"/>
  <c r="G40" i="2"/>
  <c r="G42" i="2"/>
  <c r="G41" i="2"/>
  <c r="F42" i="2"/>
  <c r="F41" i="2"/>
  <c r="G1" i="2"/>
  <c r="E36" i="2"/>
  <c r="F1" i="2"/>
  <c r="G43" i="2"/>
  <c r="F43" i="2"/>
  <c r="F44" i="2"/>
  <c r="G45" i="2"/>
  <c r="F45" i="2"/>
  <c r="F40" i="2"/>
  <c r="I44" i="2"/>
  <c r="I45" i="2"/>
  <c r="I46" i="2"/>
  <c r="I47" i="2"/>
  <c r="I48" i="2"/>
  <c r="I49" i="2"/>
  <c r="I50" i="2"/>
  <c r="I51" i="2"/>
  <c r="I53" i="2"/>
  <c r="I54" i="2"/>
  <c r="I55" i="2"/>
  <c r="I56" i="2"/>
  <c r="I57" i="2"/>
  <c r="I58" i="2"/>
  <c r="I59" i="2"/>
  <c r="I60" i="2"/>
  <c r="I61" i="2"/>
  <c r="I62" i="2"/>
  <c r="I63" i="2"/>
  <c r="I64" i="2"/>
  <c r="I65" i="2"/>
  <c r="I66" i="2"/>
  <c r="I67" i="2"/>
  <c r="I68" i="2"/>
  <c r="I70" i="2"/>
  <c r="I71" i="2"/>
  <c r="I1" i="2"/>
  <c r="I43" i="2"/>
  <c r="I37" i="2"/>
  <c r="I38" i="2"/>
  <c r="I39" i="2"/>
  <c r="I40" i="2"/>
  <c r="I41" i="2"/>
  <c r="I42" i="2"/>
  <c r="F68" i="2"/>
  <c r="F74" i="2"/>
  <c r="F69" i="2"/>
  <c r="F52" i="2"/>
  <c r="H42" i="2"/>
  <c r="H41" i="2"/>
  <c r="H1" i="2"/>
  <c r="H74" i="2"/>
  <c r="S10" i="2"/>
  <c r="S14" i="2"/>
  <c r="M23" i="1"/>
  <c r="F73" i="2"/>
  <c r="G39" i="2"/>
  <c r="F72" i="2"/>
  <c r="U1" i="2"/>
  <c r="F71" i="2"/>
  <c r="F75" i="2"/>
  <c r="F60" i="2"/>
  <c r="F37" i="2"/>
  <c r="F38" i="2"/>
  <c r="F39" i="2"/>
  <c r="F46" i="2"/>
  <c r="F47" i="2"/>
  <c r="F48" i="2"/>
  <c r="F49" i="2"/>
  <c r="F50" i="2"/>
  <c r="F51" i="2"/>
  <c r="F53" i="2"/>
  <c r="F54" i="2"/>
  <c r="F55" i="2"/>
  <c r="F56" i="2"/>
  <c r="F57" i="2"/>
  <c r="F58" i="2"/>
  <c r="F59" i="2"/>
  <c r="F61" i="2"/>
  <c r="F62" i="2"/>
  <c r="F63" i="2"/>
  <c r="F64" i="2"/>
  <c r="F65" i="2"/>
  <c r="F66" i="2"/>
  <c r="F67" i="2"/>
  <c r="F70" i="2"/>
  <c r="I75" i="2"/>
  <c r="G37" i="2"/>
  <c r="G38" i="2"/>
  <c r="I73" i="2"/>
  <c r="I74"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J1" i="2"/>
  <c r="D138" i="1"/>
  <c r="D137" i="1"/>
  <c r="C138" i="1"/>
  <c r="C137" i="1"/>
  <c r="A137" i="1"/>
  <c r="B137" i="1"/>
  <c r="B1" i="2"/>
  <c r="C1" i="2"/>
  <c r="D1" i="2"/>
  <c r="E1" i="2"/>
  <c r="K1" i="2"/>
  <c r="L1" i="2"/>
  <c r="M1" i="2"/>
  <c r="N1" i="2"/>
  <c r="O1" i="2"/>
  <c r="P1" i="2"/>
  <c r="Q1" i="2"/>
  <c r="R1" i="2"/>
  <c r="S1" i="2"/>
  <c r="T1" i="2"/>
  <c r="V1" i="2"/>
  <c r="W1" i="2"/>
  <c r="X1" i="2"/>
  <c r="Y1" i="2"/>
  <c r="Z1" i="2"/>
  <c r="AA1" i="2"/>
  <c r="AB1" i="2"/>
  <c r="AC1" i="2"/>
  <c r="AD1" i="2"/>
  <c r="AE1" i="2"/>
  <c r="AF1" i="2"/>
  <c r="AG1" i="2"/>
  <c r="AH1" i="2"/>
  <c r="AI1" i="2"/>
  <c r="AJ1" i="2"/>
  <c r="AK1" i="2"/>
  <c r="AL1" i="2"/>
  <c r="AM1" i="2"/>
  <c r="AN1" i="2"/>
  <c r="AO1" i="2"/>
  <c r="AP1" i="2"/>
  <c r="AQ1" i="2"/>
  <c r="A1" i="2"/>
  <c r="K22" i="1"/>
  <c r="I22" i="1"/>
  <c r="F81" i="2"/>
  <c r="H81" i="2"/>
  <c r="F82" i="2"/>
  <c r="H82" i="2"/>
  <c r="F83" i="2"/>
  <c r="H83" i="2"/>
  <c r="F84" i="2"/>
  <c r="H84" i="2"/>
  <c r="F85" i="2"/>
  <c r="H85" i="2"/>
  <c r="F86" i="2"/>
  <c r="H86" i="2"/>
  <c r="F87" i="2"/>
  <c r="H87" i="2"/>
  <c r="F88" i="2"/>
  <c r="H88" i="2"/>
  <c r="F89" i="2"/>
  <c r="H89" i="2"/>
  <c r="F90" i="2"/>
  <c r="H90" i="2"/>
  <c r="F91" i="2"/>
  <c r="H91" i="2"/>
  <c r="F92" i="2"/>
  <c r="H92" i="2"/>
  <c r="F93" i="2"/>
  <c r="H93" i="2"/>
  <c r="F94" i="2"/>
  <c r="H94" i="2"/>
  <c r="F95" i="2"/>
  <c r="H95" i="2"/>
  <c r="F96" i="2"/>
  <c r="H96" i="2"/>
  <c r="F97" i="2"/>
  <c r="H97" i="2"/>
  <c r="F98" i="2"/>
  <c r="H98" i="2"/>
  <c r="F99" i="2"/>
  <c r="H99" i="2"/>
  <c r="F100" i="2"/>
  <c r="H100" i="2"/>
  <c r="F101" i="2"/>
  <c r="H101" i="2"/>
  <c r="F102" i="2"/>
  <c r="H102" i="2"/>
  <c r="F103" i="2"/>
  <c r="H103" i="2"/>
  <c r="F104" i="2"/>
  <c r="H104" i="2"/>
  <c r="F105" i="2"/>
  <c r="H105" i="2"/>
  <c r="F106" i="2"/>
  <c r="H106" i="2"/>
  <c r="F107" i="2"/>
  <c r="H107" i="2"/>
  <c r="F108" i="2"/>
  <c r="H108" i="2"/>
  <c r="F109" i="2"/>
  <c r="H109" i="2"/>
  <c r="F110" i="2"/>
  <c r="H110" i="2"/>
  <c r="F111" i="2"/>
  <c r="H111" i="2"/>
  <c r="F112" i="2"/>
  <c r="H112" i="2"/>
  <c r="F113" i="2"/>
  <c r="H113" i="2"/>
  <c r="F114" i="2"/>
  <c r="H114" i="2"/>
  <c r="F115" i="2"/>
  <c r="H115" i="2"/>
  <c r="F116" i="2"/>
  <c r="H116" i="2"/>
  <c r="F117" i="2"/>
  <c r="H117" i="2"/>
  <c r="F118" i="2"/>
  <c r="H118" i="2"/>
  <c r="F119" i="2"/>
  <c r="H119" i="2"/>
  <c r="F120" i="2"/>
  <c r="H120" i="2"/>
  <c r="F121" i="2"/>
  <c r="H121" i="2"/>
  <c r="F122" i="2"/>
  <c r="H122" i="2"/>
  <c r="F123" i="2"/>
  <c r="H123" i="2"/>
  <c r="F124" i="2"/>
  <c r="H124" i="2"/>
  <c r="F125" i="2"/>
  <c r="H125" i="2"/>
  <c r="F126" i="2"/>
  <c r="H126" i="2"/>
  <c r="F127" i="2"/>
  <c r="H127" i="2"/>
  <c r="F128" i="2"/>
  <c r="H128" i="2"/>
  <c r="F129" i="2"/>
  <c r="H129" i="2"/>
  <c r="F130" i="2"/>
  <c r="H130" i="2"/>
  <c r="F131" i="2"/>
  <c r="H131" i="2"/>
  <c r="F132" i="2"/>
  <c r="H132" i="2"/>
  <c r="F133" i="2"/>
  <c r="H133" i="2"/>
  <c r="F134" i="2"/>
  <c r="H134" i="2"/>
  <c r="F135" i="2"/>
  <c r="H135" i="2"/>
  <c r="F136" i="2"/>
  <c r="H136" i="2"/>
  <c r="H38" i="2"/>
  <c r="H39" i="2"/>
  <c r="H40"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5" i="2"/>
  <c r="F76" i="2"/>
  <c r="H76" i="2"/>
  <c r="F77" i="2"/>
  <c r="H77" i="2"/>
  <c r="F78" i="2"/>
  <c r="H78" i="2"/>
  <c r="F79" i="2"/>
  <c r="H79" i="2"/>
  <c r="F80" i="2"/>
  <c r="H80" i="2"/>
  <c r="H37" i="2"/>
  <c r="V29" i="2"/>
  <c r="K136" i="2"/>
  <c r="I136" i="2"/>
  <c r="K135" i="2"/>
  <c r="I135" i="2"/>
  <c r="K134" i="2"/>
  <c r="I134" i="2"/>
  <c r="K133" i="2"/>
  <c r="I133" i="2"/>
  <c r="K132" i="2"/>
  <c r="I132" i="2"/>
  <c r="K131" i="2"/>
  <c r="I131" i="2"/>
  <c r="K130" i="2"/>
  <c r="I130" i="2"/>
  <c r="K129" i="2"/>
  <c r="I129" i="2"/>
  <c r="K128" i="2"/>
  <c r="I128" i="2"/>
  <c r="K127" i="2"/>
  <c r="I127" i="2"/>
  <c r="K126" i="2"/>
  <c r="I126" i="2"/>
  <c r="K125" i="2"/>
  <c r="I125" i="2"/>
  <c r="K124" i="2"/>
  <c r="I124" i="2"/>
  <c r="K123" i="2"/>
  <c r="I123" i="2"/>
  <c r="K122" i="2"/>
  <c r="I122" i="2"/>
  <c r="K121" i="2"/>
  <c r="I121" i="2"/>
  <c r="K120" i="2"/>
  <c r="I120" i="2"/>
  <c r="K119" i="2"/>
  <c r="I119" i="2"/>
  <c r="K118" i="2"/>
  <c r="I118" i="2"/>
  <c r="K117" i="2"/>
  <c r="I117" i="2"/>
  <c r="K116" i="2"/>
  <c r="I116" i="2"/>
  <c r="K115" i="2"/>
  <c r="I115" i="2"/>
  <c r="K114" i="2"/>
  <c r="I114" i="2"/>
  <c r="K113" i="2"/>
  <c r="I113" i="2"/>
  <c r="K112" i="2"/>
  <c r="I112" i="2"/>
  <c r="K111" i="2"/>
  <c r="I111" i="2"/>
  <c r="K110" i="2"/>
  <c r="I110" i="2"/>
  <c r="K109" i="2"/>
  <c r="I109" i="2"/>
  <c r="K108" i="2"/>
  <c r="I108" i="2"/>
  <c r="K107" i="2"/>
  <c r="I107" i="2"/>
  <c r="K106" i="2"/>
  <c r="I106" i="2"/>
  <c r="K105" i="2"/>
  <c r="I105" i="2"/>
  <c r="K104" i="2"/>
  <c r="I104" i="2"/>
  <c r="K103" i="2"/>
  <c r="I103" i="2"/>
  <c r="K102" i="2"/>
  <c r="I102" i="2"/>
  <c r="K101" i="2"/>
  <c r="I101" i="2"/>
  <c r="K100" i="2"/>
  <c r="I100" i="2"/>
  <c r="K99" i="2"/>
  <c r="I99" i="2"/>
  <c r="K98" i="2"/>
  <c r="I98" i="2"/>
  <c r="K97" i="2"/>
  <c r="I97" i="2"/>
  <c r="K96" i="2"/>
  <c r="I96" i="2"/>
  <c r="K95" i="2"/>
  <c r="I95" i="2"/>
  <c r="K94" i="2"/>
  <c r="I94" i="2"/>
  <c r="K93" i="2"/>
  <c r="I93" i="2"/>
  <c r="K92" i="2"/>
  <c r="I92" i="2"/>
  <c r="K91" i="2"/>
  <c r="I91" i="2"/>
  <c r="K90" i="2"/>
  <c r="I90" i="2"/>
  <c r="K89" i="2"/>
  <c r="I89" i="2"/>
  <c r="K88" i="2"/>
  <c r="I88" i="2"/>
  <c r="K87" i="2"/>
  <c r="I87" i="2"/>
  <c r="K86" i="2"/>
  <c r="I86" i="2"/>
  <c r="K85" i="2"/>
  <c r="I85" i="2"/>
  <c r="K84" i="2"/>
  <c r="I84" i="2"/>
  <c r="K83" i="2"/>
  <c r="I83" i="2"/>
  <c r="K82" i="2"/>
  <c r="I82" i="2"/>
  <c r="K81" i="2"/>
  <c r="I81" i="2"/>
  <c r="K80" i="2"/>
  <c r="I80" i="2"/>
  <c r="K79" i="2"/>
  <c r="I79" i="2"/>
  <c r="K78" i="2"/>
  <c r="I78" i="2"/>
  <c r="K77" i="2"/>
  <c r="I77" i="2"/>
  <c r="K76" i="2"/>
  <c r="I76" i="2"/>
  <c r="I72" i="2"/>
  <c r="K41" i="2"/>
  <c r="K40" i="2"/>
  <c r="K39" i="2"/>
  <c r="K38" i="2"/>
  <c r="K37" i="2"/>
  <c r="E36" i="1"/>
  <c r="K42" i="2"/>
  <c r="K43" i="2"/>
  <c r="K69" i="2"/>
  <c r="K70" i="2"/>
  <c r="K68" i="2"/>
  <c r="K73" i="2"/>
  <c r="K72" i="2"/>
  <c r="K75" i="2"/>
  <c r="K71" i="2"/>
  <c r="K74" i="2"/>
  <c r="U22" i="2"/>
  <c r="V66" i="2"/>
  <c r="J20" i="2"/>
  <c r="M30" i="2"/>
  <c r="J21" i="2"/>
  <c r="J73" i="2"/>
  <c r="J107" i="2"/>
  <c r="J92" i="2"/>
  <c r="J124" i="2"/>
  <c r="W21" i="2"/>
  <c r="J104" i="2"/>
  <c r="J60" i="2"/>
  <c r="J25" i="2"/>
  <c r="J117" i="2"/>
  <c r="J54" i="2"/>
  <c r="K21" i="2"/>
  <c r="J89" i="2"/>
  <c r="J38" i="2"/>
  <c r="J90" i="2"/>
  <c r="U68" i="2" l="1"/>
  <c r="V65" i="2"/>
  <c r="U65" i="2"/>
  <c r="S25" i="2"/>
  <c r="S26" i="2" s="1"/>
  <c r="S28" i="2" s="1"/>
  <c r="S27" i="2"/>
  <c r="A138" i="1"/>
  <c r="V48" i="2"/>
  <c r="V62" i="2"/>
  <c r="V53" i="2"/>
  <c r="V59" i="2"/>
  <c r="V47" i="2"/>
  <c r="V52" i="2"/>
  <c r="V58" i="2"/>
  <c r="U43" i="2"/>
  <c r="U56" i="2"/>
  <c r="U52" i="2"/>
  <c r="U86" i="2"/>
  <c r="V54" i="2"/>
  <c r="U57" i="2"/>
  <c r="V57" i="2"/>
  <c r="V49" i="2"/>
  <c r="U54" i="2"/>
  <c r="V51" i="2"/>
  <c r="U47" i="2"/>
  <c r="U72" i="2"/>
  <c r="U63" i="2"/>
  <c r="V113" i="2"/>
  <c r="V55" i="2"/>
  <c r="U62" i="2"/>
  <c r="V56" i="2"/>
  <c r="V63" i="2"/>
  <c r="V50" i="2"/>
  <c r="U132" i="2"/>
  <c r="U48" i="2"/>
  <c r="U59" i="2"/>
  <c r="U51" i="2"/>
  <c r="V60" i="2"/>
  <c r="U55" i="2"/>
  <c r="V127" i="2"/>
  <c r="U49" i="2"/>
  <c r="U61" i="2"/>
  <c r="V100" i="2"/>
  <c r="V61" i="2"/>
  <c r="U53" i="2"/>
  <c r="U58" i="2"/>
  <c r="U50" i="2"/>
  <c r="U60" i="2"/>
  <c r="V102" i="2"/>
  <c r="U37" i="2"/>
  <c r="V116" i="2"/>
  <c r="U70" i="2"/>
  <c r="U100" i="2"/>
  <c r="V118" i="2"/>
  <c r="U46" i="2"/>
  <c r="V95" i="2"/>
  <c r="U114" i="2"/>
  <c r="V132" i="2"/>
  <c r="U83" i="2"/>
  <c r="U40" i="2"/>
  <c r="V84" i="2"/>
  <c r="V38" i="2"/>
  <c r="V69" i="2"/>
  <c r="V39" i="2"/>
  <c r="V46" i="2"/>
  <c r="U85" i="2"/>
  <c r="V81" i="2"/>
  <c r="V88" i="2"/>
  <c r="U71" i="2"/>
  <c r="V130" i="2"/>
  <c r="V114" i="2"/>
  <c r="V98" i="2"/>
  <c r="U128" i="2"/>
  <c r="U112" i="2"/>
  <c r="U96" i="2"/>
  <c r="V125" i="2"/>
  <c r="V109" i="2"/>
  <c r="V93" i="2"/>
  <c r="U84" i="2"/>
  <c r="U91" i="2"/>
  <c r="U127" i="2"/>
  <c r="U129" i="2"/>
  <c r="V108" i="2"/>
  <c r="U106" i="2"/>
  <c r="V103" i="2"/>
  <c r="U119" i="2"/>
  <c r="U109" i="2"/>
  <c r="U41" i="2"/>
  <c r="V42" i="2"/>
  <c r="U136" i="2"/>
  <c r="V133" i="2"/>
  <c r="V85" i="2"/>
  <c r="U79" i="2"/>
  <c r="V136" i="2"/>
  <c r="U118" i="2"/>
  <c r="V115" i="2"/>
  <c r="U133" i="2"/>
  <c r="V44" i="2"/>
  <c r="U82" i="2"/>
  <c r="V73" i="2"/>
  <c r="U87" i="2"/>
  <c r="U80" i="2"/>
  <c r="V80" i="2"/>
  <c r="U78" i="2"/>
  <c r="U38" i="2"/>
  <c r="V92" i="2"/>
  <c r="V83" i="2"/>
  <c r="U93" i="2"/>
  <c r="U92" i="2"/>
  <c r="V128" i="2"/>
  <c r="V112" i="2"/>
  <c r="V96" i="2"/>
  <c r="U126" i="2"/>
  <c r="U110" i="2"/>
  <c r="U94" i="2"/>
  <c r="V123" i="2"/>
  <c r="V107" i="2"/>
  <c r="V91" i="2"/>
  <c r="U76" i="2"/>
  <c r="U121" i="2"/>
  <c r="U105" i="2"/>
  <c r="U117" i="2"/>
  <c r="V43" i="2"/>
  <c r="V135" i="2"/>
  <c r="V87" i="2"/>
  <c r="U111" i="2"/>
  <c r="U113" i="2"/>
  <c r="U125" i="2"/>
  <c r="V122" i="2"/>
  <c r="U120" i="2"/>
  <c r="V117" i="2"/>
  <c r="U75" i="2"/>
  <c r="V71" i="2"/>
  <c r="V45" i="2"/>
  <c r="V104" i="2"/>
  <c r="V131" i="2"/>
  <c r="U74" i="2"/>
  <c r="U77" i="2"/>
  <c r="V37" i="2"/>
  <c r="V90" i="2"/>
  <c r="U88" i="2"/>
  <c r="U123" i="2"/>
  <c r="V86" i="2"/>
  <c r="U89" i="2"/>
  <c r="U95" i="2"/>
  <c r="U90" i="2"/>
  <c r="U103" i="2"/>
  <c r="U101" i="2"/>
  <c r="V126" i="2"/>
  <c r="V110" i="2"/>
  <c r="V94" i="2"/>
  <c r="U124" i="2"/>
  <c r="U108" i="2"/>
  <c r="U42" i="2"/>
  <c r="V121" i="2"/>
  <c r="V105" i="2"/>
  <c r="V89" i="2"/>
  <c r="V76" i="2"/>
  <c r="U73" i="2"/>
  <c r="U97" i="2"/>
  <c r="U99" i="2"/>
  <c r="U115" i="2"/>
  <c r="V124" i="2"/>
  <c r="U122" i="2"/>
  <c r="V119" i="2"/>
  <c r="V75" i="2"/>
  <c r="U107" i="2"/>
  <c r="U131" i="2"/>
  <c r="U44" i="2"/>
  <c r="V106" i="2"/>
  <c r="U104" i="2"/>
  <c r="V101" i="2"/>
  <c r="V70" i="2"/>
  <c r="U135" i="2"/>
  <c r="V120" i="2"/>
  <c r="U102" i="2"/>
  <c r="V99" i="2"/>
  <c r="V41" i="2"/>
  <c r="U39" i="2"/>
  <c r="U134" i="2"/>
  <c r="V129" i="2"/>
  <c r="U98" i="2"/>
  <c r="V79" i="2"/>
  <c r="V40" i="2"/>
  <c r="V74" i="2"/>
  <c r="V77" i="2"/>
  <c r="V97" i="2"/>
  <c r="U116" i="2"/>
  <c r="V134" i="2"/>
  <c r="U81" i="2"/>
  <c r="U45" i="2"/>
  <c r="V111" i="2"/>
  <c r="U130" i="2"/>
  <c r="U69" i="2"/>
  <c r="V72" i="2"/>
  <c r="V78" i="2"/>
  <c r="U64" i="2"/>
  <c r="V64" i="2"/>
  <c r="V68" i="2"/>
  <c r="U66" i="2"/>
  <c r="J133" i="2"/>
  <c r="J122" i="2"/>
  <c r="J130" i="2"/>
  <c r="J96" i="2"/>
  <c r="J72" i="2"/>
  <c r="J71" i="2"/>
  <c r="J127" i="2"/>
  <c r="J87" i="2"/>
  <c r="J85" i="2"/>
  <c r="J102" i="2"/>
  <c r="J129" i="2"/>
  <c r="J48" i="2"/>
  <c r="J26" i="2"/>
  <c r="L20" i="2"/>
  <c r="J37" i="2"/>
  <c r="J88" i="2"/>
  <c r="J119" i="2"/>
  <c r="M31" i="2"/>
  <c r="J49" i="2"/>
  <c r="J101" i="2"/>
  <c r="J99" i="2"/>
  <c r="J52" i="2"/>
  <c r="J74" i="2"/>
  <c r="J69" i="2"/>
  <c r="V67" i="2"/>
  <c r="J53" i="2"/>
  <c r="J80" i="2"/>
  <c r="J44" i="2"/>
  <c r="J100" i="2"/>
  <c r="J61" i="2"/>
  <c r="J118" i="2"/>
  <c r="J120" i="2"/>
  <c r="J56" i="2"/>
  <c r="J136" i="2"/>
  <c r="J126" i="2"/>
  <c r="J55" i="2"/>
  <c r="J77" i="2"/>
  <c r="J108" i="2"/>
  <c r="J70" i="2"/>
  <c r="J42" i="2"/>
  <c r="J135" i="2"/>
  <c r="J65" i="2"/>
  <c r="J39" i="2"/>
  <c r="J113" i="2"/>
  <c r="J50" i="2"/>
  <c r="O17" i="2"/>
  <c r="J45" i="2"/>
  <c r="J68" i="2"/>
  <c r="J75" i="2"/>
  <c r="J41" i="2"/>
  <c r="J93" i="2"/>
  <c r="J78" i="2"/>
  <c r="J86" i="2"/>
  <c r="J84" i="2"/>
  <c r="J63" i="2"/>
  <c r="J51" i="2"/>
  <c r="J125" i="2"/>
  <c r="J94" i="2"/>
  <c r="J123" i="2"/>
  <c r="J115" i="2"/>
  <c r="J47" i="2"/>
  <c r="J105" i="2"/>
  <c r="J66" i="2"/>
  <c r="J64" i="2"/>
  <c r="J97" i="2"/>
  <c r="J111" i="2"/>
  <c r="J106" i="2"/>
  <c r="M28" i="2"/>
  <c r="J79" i="2"/>
  <c r="J62" i="2"/>
  <c r="J128" i="2"/>
  <c r="J112" i="2"/>
  <c r="J121" i="2"/>
  <c r="J109" i="2"/>
  <c r="J57" i="2"/>
  <c r="J132" i="2"/>
  <c r="J91" i="2"/>
  <c r="J58" i="2"/>
  <c r="J110" i="2"/>
  <c r="J81" i="2"/>
  <c r="J116" i="2"/>
  <c r="J83" i="2"/>
  <c r="J103" i="2"/>
  <c r="J67" i="2"/>
  <c r="J40" i="2"/>
  <c r="J98" i="2"/>
  <c r="J59" i="2"/>
  <c r="J95" i="2"/>
  <c r="K20" i="2"/>
  <c r="J114" i="2"/>
  <c r="J82" i="2"/>
  <c r="K26" i="2"/>
  <c r="O13" i="2"/>
  <c r="J43" i="2"/>
  <c r="U67" i="2"/>
  <c r="J76" i="2"/>
  <c r="J46" i="2"/>
  <c r="J134" i="2"/>
  <c r="K25" i="2"/>
  <c r="J131" i="2"/>
  <c r="O28" i="2" l="1"/>
  <c r="Q28" i="2" s="1"/>
  <c r="M27" i="2"/>
  <c r="L23" i="2"/>
  <c r="K28" i="2"/>
  <c r="M20" i="2"/>
  <c r="G30" i="2"/>
  <c r="Q33" i="2" l="1"/>
  <c r="AD80" i="2"/>
  <c r="AD156" i="2"/>
  <c r="O27" i="2"/>
  <c r="Q27" i="2" s="1"/>
  <c r="AD185" i="2"/>
  <c r="AD143" i="2"/>
  <c r="AD91" i="2"/>
  <c r="AD111" i="2"/>
  <c r="AD82" i="2"/>
  <c r="AD153" i="2"/>
  <c r="AD131" i="2"/>
  <c r="AD79" i="2"/>
  <c r="AD132" i="2"/>
  <c r="AD105" i="2"/>
  <c r="AD92" i="2"/>
  <c r="AD159" i="2"/>
  <c r="AD147" i="2"/>
  <c r="AD88" i="2"/>
  <c r="AD144" i="2"/>
  <c r="AD75" i="2"/>
  <c r="AD133" i="2"/>
  <c r="AD117" i="2"/>
  <c r="AD113" i="2"/>
  <c r="AD158" i="2"/>
  <c r="AD109" i="2"/>
  <c r="AD73" i="2"/>
  <c r="AD150" i="2"/>
  <c r="AD101" i="2"/>
  <c r="AD176" i="2"/>
  <c r="AD89" i="2"/>
  <c r="AD110" i="2"/>
  <c r="AD165" i="2"/>
  <c r="AD175" i="2"/>
  <c r="AD155" i="2"/>
  <c r="AD184" i="2"/>
  <c r="AD139" i="2"/>
  <c r="AD186" i="2"/>
  <c r="AD180" i="2"/>
  <c r="AD167" i="2"/>
  <c r="AD104" i="2"/>
  <c r="AD141" i="2"/>
  <c r="AD163" i="2"/>
  <c r="AD173" i="2"/>
  <c r="AD170" i="2"/>
  <c r="AD166" i="2"/>
  <c r="AD98" i="2"/>
  <c r="AD161" i="2"/>
  <c r="AD149" i="2"/>
  <c r="AD128" i="2"/>
  <c r="AD116" i="2"/>
  <c r="AD100" i="2"/>
  <c r="AD174" i="2"/>
  <c r="AD148" i="2"/>
  <c r="AD151" i="2"/>
  <c r="AD120" i="2"/>
  <c r="AD95" i="2"/>
  <c r="AD169" i="2"/>
  <c r="AD123" i="2"/>
  <c r="AD78" i="2"/>
  <c r="AD115" i="2"/>
  <c r="AD83" i="2"/>
  <c r="AD72" i="2"/>
  <c r="AD97" i="2"/>
  <c r="AD114" i="2"/>
  <c r="AD171" i="2"/>
  <c r="AD146" i="2"/>
  <c r="AD145" i="2"/>
  <c r="AD77" i="2"/>
  <c r="AD102" i="2"/>
  <c r="AD135" i="2"/>
  <c r="AD96" i="2"/>
  <c r="AD119" i="2"/>
  <c r="AD183" i="2"/>
  <c r="AD94" i="2"/>
  <c r="AD108" i="2"/>
  <c r="AD126" i="2"/>
  <c r="AD84" i="2"/>
  <c r="AD74" i="2"/>
  <c r="AD130" i="2"/>
  <c r="AD125" i="2"/>
  <c r="AD140" i="2"/>
  <c r="AD90" i="2"/>
  <c r="AD87" i="2"/>
  <c r="AD122" i="2"/>
  <c r="AD172" i="2"/>
  <c r="AD93" i="2"/>
  <c r="AD178" i="2"/>
  <c r="AD129" i="2"/>
  <c r="AD99" i="2"/>
  <c r="AD168" i="2"/>
  <c r="AD136" i="2"/>
  <c r="AD106" i="2"/>
  <c r="AD162" i="2"/>
  <c r="AD127" i="2"/>
  <c r="AD182" i="2"/>
  <c r="AD107" i="2"/>
  <c r="AD118" i="2"/>
  <c r="AD157" i="2"/>
  <c r="AD142" i="2"/>
  <c r="AD81" i="2"/>
  <c r="AD179" i="2"/>
  <c r="AD160" i="2"/>
  <c r="AD103" i="2"/>
  <c r="AD164" i="2"/>
  <c r="AD154" i="2"/>
  <c r="AD112" i="2"/>
  <c r="AD71" i="2"/>
  <c r="AD86" i="2"/>
  <c r="AD137" i="2"/>
  <c r="AD124" i="2"/>
  <c r="AD152" i="2"/>
  <c r="AD177" i="2"/>
  <c r="AD134" i="2"/>
  <c r="AD181" i="2"/>
  <c r="AD121" i="2"/>
  <c r="AD138" i="2"/>
  <c r="AD85" i="2"/>
  <c r="AD76" i="2"/>
  <c r="M23" i="2"/>
  <c r="G31" i="2"/>
  <c r="X12" i="2"/>
  <c r="Y13" i="2"/>
  <c r="W16" i="2"/>
  <c r="Y12" i="2"/>
  <c r="Y14" i="2"/>
  <c r="W13" i="2"/>
  <c r="U15" i="2"/>
  <c r="W15" i="2"/>
  <c r="X13" i="2"/>
  <c r="Y17" i="2"/>
  <c r="U16" i="2"/>
  <c r="X17" i="2"/>
  <c r="W17" i="2"/>
  <c r="V16" i="2"/>
  <c r="Y11" i="2"/>
  <c r="Y15" i="2"/>
  <c r="V14" i="2"/>
  <c r="Y16" i="2"/>
  <c r="X15" i="2"/>
  <c r="X14" i="2"/>
  <c r="V15" i="2"/>
  <c r="V17" i="2"/>
  <c r="K67" i="2" l="1"/>
  <c r="K44" i="2"/>
  <c r="K45" i="2"/>
  <c r="N11" i="2"/>
  <c r="N17" i="2"/>
  <c r="N13" i="2"/>
  <c r="N12" i="2"/>
  <c r="U17" i="2"/>
  <c r="N15" i="2"/>
  <c r="N16" i="2"/>
  <c r="X16" i="2"/>
  <c r="AD67" i="2" l="1"/>
  <c r="AD69" i="2"/>
  <c r="AD70" i="2"/>
  <c r="AD68" i="2"/>
  <c r="W14" i="2"/>
  <c r="N14" i="2"/>
  <c r="K46" i="2" l="1"/>
  <c r="K56" i="2"/>
  <c r="K62" i="2"/>
  <c r="K47" i="2"/>
  <c r="K55" i="2"/>
  <c r="K61" i="2"/>
  <c r="K52" i="2"/>
  <c r="K57" i="2"/>
  <c r="K53" i="2"/>
  <c r="K65" i="2"/>
  <c r="K50" i="2"/>
  <c r="K48" i="2"/>
  <c r="K64" i="2"/>
  <c r="K54" i="2"/>
  <c r="K58" i="2"/>
  <c r="K49" i="2"/>
  <c r="K66" i="2"/>
  <c r="K59" i="2"/>
  <c r="K63" i="2"/>
  <c r="K51" i="2"/>
  <c r="K60" i="2"/>
  <c r="N20" i="2"/>
  <c r="M25" i="2" l="1"/>
  <c r="O30" i="2" s="1"/>
  <c r="Q30" i="2" s="1"/>
  <c r="N23" i="2"/>
  <c r="M26" i="2"/>
  <c r="O25" i="2" l="1"/>
  <c r="Q25" i="2" s="1"/>
  <c r="O31" i="2"/>
  <c r="Q31" i="2" s="1"/>
  <c r="AI184" i="2" s="1"/>
  <c r="O26" i="2"/>
  <c r="Q26" i="2" s="1"/>
  <c r="L48" i="2"/>
  <c r="L80" i="2"/>
  <c r="L59" i="2"/>
  <c r="L67" i="2"/>
  <c r="L97" i="2"/>
  <c r="L123" i="2"/>
  <c r="L125" i="2"/>
  <c r="L89" i="2"/>
  <c r="L68" i="2"/>
  <c r="L81" i="2"/>
  <c r="L56" i="2"/>
  <c r="L101" i="2"/>
  <c r="L62" i="2"/>
  <c r="L55" i="2"/>
  <c r="L106" i="2"/>
  <c r="L93" i="2"/>
  <c r="L41" i="2"/>
  <c r="L54" i="2"/>
  <c r="L90" i="2"/>
  <c r="L63" i="2"/>
  <c r="L91" i="2"/>
  <c r="L71" i="2"/>
  <c r="L133" i="2"/>
  <c r="L126" i="2"/>
  <c r="L100" i="2"/>
  <c r="L40" i="2"/>
  <c r="L47" i="2"/>
  <c r="L99" i="2"/>
  <c r="L83" i="2"/>
  <c r="L112" i="2"/>
  <c r="L105" i="2"/>
  <c r="L107" i="2"/>
  <c r="L42" i="2"/>
  <c r="L84" i="2"/>
  <c r="L37" i="2"/>
  <c r="L135" i="2"/>
  <c r="L108" i="2"/>
  <c r="L115" i="2"/>
  <c r="L128" i="2"/>
  <c r="L132" i="2"/>
  <c r="L102" i="2"/>
  <c r="L130" i="2"/>
  <c r="L124" i="2"/>
  <c r="L94" i="2"/>
  <c r="L116" i="2"/>
  <c r="L74" i="2"/>
  <c r="L85" i="2"/>
  <c r="L86" i="2"/>
  <c r="L82" i="2"/>
  <c r="L134" i="2"/>
  <c r="L49" i="2"/>
  <c r="L110" i="2"/>
  <c r="L76" i="2"/>
  <c r="L114" i="2"/>
  <c r="L44" i="2"/>
  <c r="L38" i="2"/>
  <c r="L45" i="2"/>
  <c r="L98" i="2"/>
  <c r="L50" i="2"/>
  <c r="L120" i="2"/>
  <c r="L78" i="2"/>
  <c r="L113" i="2"/>
  <c r="L43" i="2"/>
  <c r="L88" i="2"/>
  <c r="L66" i="2"/>
  <c r="L77" i="2"/>
  <c r="L60" i="2"/>
  <c r="L129" i="2"/>
  <c r="L131" i="2"/>
  <c r="L53" i="2"/>
  <c r="L95" i="2"/>
  <c r="L73" i="2"/>
  <c r="M29" i="2"/>
  <c r="L118" i="2"/>
  <c r="L111" i="2"/>
  <c r="L51" i="2"/>
  <c r="L127" i="2"/>
  <c r="L109" i="2"/>
  <c r="L70" i="2"/>
  <c r="L122" i="2"/>
  <c r="L52" i="2"/>
  <c r="L64" i="2"/>
  <c r="L92" i="2"/>
  <c r="L39" i="2"/>
  <c r="L65" i="2"/>
  <c r="L104" i="2"/>
  <c r="L57" i="2"/>
  <c r="L69" i="2"/>
  <c r="L136" i="2"/>
  <c r="L58" i="2"/>
  <c r="L75" i="2"/>
  <c r="L121" i="2"/>
  <c r="L87" i="2"/>
  <c r="L72" i="2"/>
  <c r="L117" i="2"/>
  <c r="L96" i="2"/>
  <c r="L46" i="2"/>
  <c r="L103" i="2"/>
  <c r="L61" i="2"/>
  <c r="L79" i="2"/>
  <c r="L119" i="2"/>
  <c r="AH174" i="2"/>
  <c r="AH116" i="2"/>
  <c r="AH102" i="2"/>
  <c r="AI171" i="2"/>
  <c r="AH95" i="2"/>
  <c r="AG130" i="2" l="1"/>
  <c r="AG75" i="2"/>
  <c r="AH75" i="2" s="1"/>
  <c r="AG153" i="2"/>
  <c r="AI126" i="2"/>
  <c r="AG119" i="2"/>
  <c r="AI122" i="2"/>
  <c r="AI127" i="2"/>
  <c r="AI120" i="2"/>
  <c r="AI135" i="2"/>
  <c r="AH157" i="2"/>
  <c r="AI87" i="2"/>
  <c r="AG139" i="2"/>
  <c r="AI156" i="2"/>
  <c r="AJ156" i="2" s="1"/>
  <c r="AK156" i="2" s="1"/>
  <c r="M137" i="1" s="1"/>
  <c r="AI104" i="2"/>
  <c r="AH106" i="2"/>
  <c r="AG71" i="2"/>
  <c r="AH71" i="2" s="1"/>
  <c r="AH153" i="2"/>
  <c r="AH37" i="2"/>
  <c r="AI89" i="2"/>
  <c r="AH119" i="2"/>
  <c r="AH40" i="2"/>
  <c r="AH104" i="2"/>
  <c r="AJ104" i="2" s="1"/>
  <c r="AG96" i="2"/>
  <c r="AI170" i="2"/>
  <c r="AG156" i="2"/>
  <c r="AG109" i="2"/>
  <c r="AH93" i="2"/>
  <c r="AH98" i="2"/>
  <c r="AH100" i="2"/>
  <c r="AI185" i="2"/>
  <c r="AG51" i="2"/>
  <c r="AH51" i="2" s="1"/>
  <c r="AG107" i="2"/>
  <c r="AH156" i="2"/>
  <c r="AH39" i="2"/>
  <c r="AG176" i="2"/>
  <c r="AH180" i="2"/>
  <c r="AH161" i="2"/>
  <c r="AI110" i="2"/>
  <c r="AI186" i="2"/>
  <c r="AG53" i="2"/>
  <c r="AH53" i="2" s="1"/>
  <c r="AH162" i="2"/>
  <c r="AH97" i="2"/>
  <c r="AH99" i="2"/>
  <c r="AI73" i="2"/>
  <c r="AI145" i="2"/>
  <c r="AI143" i="2"/>
  <c r="AG106" i="2"/>
  <c r="AH144" i="2"/>
  <c r="AI118" i="2"/>
  <c r="AH91" i="2"/>
  <c r="AI121" i="2"/>
  <c r="AH126" i="2"/>
  <c r="AJ126" i="2" s="1"/>
  <c r="AG54" i="2"/>
  <c r="AH54" i="2" s="1"/>
  <c r="AI111" i="2"/>
  <c r="AI92" i="2"/>
  <c r="AI177" i="2"/>
  <c r="AH164" i="2"/>
  <c r="AI76" i="2"/>
  <c r="AI174" i="2"/>
  <c r="AJ174" i="2" s="1"/>
  <c r="AH127" i="2"/>
  <c r="AI79" i="2"/>
  <c r="AI107" i="2"/>
  <c r="AI134" i="2"/>
  <c r="AG43" i="2"/>
  <c r="AH43" i="2" s="1"/>
  <c r="AH105" i="2"/>
  <c r="AI164" i="2"/>
  <c r="AG182" i="2"/>
  <c r="AG105" i="2"/>
  <c r="AH94" i="2"/>
  <c r="AG68" i="2"/>
  <c r="AH68" i="2" s="1"/>
  <c r="AG175" i="2"/>
  <c r="AG39" i="2"/>
  <c r="AG55" i="2"/>
  <c r="AH55" i="2" s="1"/>
  <c r="AG70" i="2"/>
  <c r="AH70" i="2" s="1"/>
  <c r="AI113" i="2"/>
  <c r="AI183" i="2"/>
  <c r="AG148" i="2"/>
  <c r="AI84" i="2"/>
  <c r="AG174" i="2"/>
  <c r="AG159" i="2"/>
  <c r="AI148" i="2"/>
  <c r="AG168" i="2"/>
  <c r="AH179" i="2"/>
  <c r="AH131" i="2"/>
  <c r="AG117" i="2"/>
  <c r="AI138" i="2"/>
  <c r="AI153" i="2"/>
  <c r="AJ153" i="2" s="1"/>
  <c r="AK153" i="2" s="1"/>
  <c r="M134" i="1" s="1"/>
  <c r="AI137" i="2"/>
  <c r="AH158" i="2"/>
  <c r="AI82" i="2"/>
  <c r="AG138" i="2"/>
  <c r="AG104" i="2"/>
  <c r="AI180" i="2"/>
  <c r="AG40" i="2"/>
  <c r="AH120" i="2"/>
  <c r="AG67" i="2"/>
  <c r="AH67" i="2" s="1"/>
  <c r="AG98" i="2"/>
  <c r="AI94" i="2"/>
  <c r="AG52" i="2"/>
  <c r="AH52" i="2" s="1"/>
  <c r="AG83" i="2"/>
  <c r="AH83" i="2" s="1"/>
  <c r="AI50" i="2" s="1"/>
  <c r="AG157" i="2"/>
  <c r="AH168" i="2"/>
  <c r="AH118" i="2"/>
  <c r="AI98" i="2"/>
  <c r="AJ98" i="2" s="1"/>
  <c r="AG154" i="2"/>
  <c r="AH165" i="2"/>
  <c r="AI155" i="2"/>
  <c r="AG143" i="2"/>
  <c r="AI131" i="2"/>
  <c r="AG180" i="2"/>
  <c r="AH160" i="2"/>
  <c r="O29" i="2"/>
  <c r="AG115" i="2"/>
  <c r="AH147" i="2"/>
  <c r="AI95" i="2"/>
  <c r="AJ95" i="2" s="1"/>
  <c r="AG94" i="2"/>
  <c r="AG124" i="2"/>
  <c r="AH129" i="2"/>
  <c r="AG79" i="2"/>
  <c r="AH79" i="2" s="1"/>
  <c r="AI102" i="2"/>
  <c r="AJ102" i="2" s="1"/>
  <c r="AG114" i="2"/>
  <c r="AI179" i="2"/>
  <c r="AG111" i="2"/>
  <c r="AH146" i="2"/>
  <c r="AG102" i="2"/>
  <c r="AG131" i="2"/>
  <c r="AH36" i="2"/>
  <c r="AG65" i="2"/>
  <c r="AH65" i="2" s="1"/>
  <c r="AI173" i="2"/>
  <c r="AG116" i="2"/>
  <c r="AG103" i="2"/>
  <c r="AH38" i="2"/>
  <c r="AG142" i="2"/>
  <c r="AG185" i="2"/>
  <c r="AI91" i="2"/>
  <c r="AG137" i="2"/>
  <c r="AI150" i="2"/>
  <c r="AI85" i="2"/>
  <c r="AG113" i="2"/>
  <c r="AI116" i="2"/>
  <c r="AJ116" i="2" s="1"/>
  <c r="AH159" i="2"/>
  <c r="AI93" i="2"/>
  <c r="AJ93" i="2" s="1"/>
  <c r="AH171" i="2"/>
  <c r="AJ171" i="2" s="1"/>
  <c r="AH103" i="2"/>
  <c r="AG122" i="2"/>
  <c r="AI176" i="2"/>
  <c r="AG45" i="2"/>
  <c r="AH45" i="2" s="1"/>
  <c r="AH184" i="2"/>
  <c r="AJ184" i="2" s="1"/>
  <c r="AI97" i="2"/>
  <c r="AJ97" i="2" s="1"/>
  <c r="AH172" i="2"/>
  <c r="AH149" i="2"/>
  <c r="AG158" i="2"/>
  <c r="AH175" i="2"/>
  <c r="AI178" i="2"/>
  <c r="AG44" i="2"/>
  <c r="AH44" i="2" s="1"/>
  <c r="AI181" i="2"/>
  <c r="AH90" i="2"/>
  <c r="AG93" i="2"/>
  <c r="AI136" i="2"/>
  <c r="AI105" i="2"/>
  <c r="AH96" i="2"/>
  <c r="AG62" i="2"/>
  <c r="AH62" i="2" s="1"/>
  <c r="AG84" i="2"/>
  <c r="AH84" i="2" s="1"/>
  <c r="AG129" i="2"/>
  <c r="AI112" i="2"/>
  <c r="AH186" i="2"/>
  <c r="AG38" i="2"/>
  <c r="AH122" i="2"/>
  <c r="AJ122" i="2" s="1"/>
  <c r="AH155" i="2"/>
  <c r="AI96" i="2"/>
  <c r="AG121" i="2"/>
  <c r="AH167" i="2"/>
  <c r="AH117" i="2"/>
  <c r="AG184" i="2"/>
  <c r="AG110" i="2"/>
  <c r="AG135" i="2"/>
  <c r="AH178" i="2"/>
  <c r="AH142" i="2"/>
  <c r="AI117" i="2"/>
  <c r="AG76" i="2"/>
  <c r="AH76" i="2" s="1"/>
  <c r="AI56" i="2" s="1"/>
  <c r="AH110" i="2"/>
  <c r="AG126" i="2"/>
  <c r="AH113" i="2"/>
  <c r="AG108" i="2"/>
  <c r="AG169" i="2"/>
  <c r="AH128" i="2"/>
  <c r="AH181" i="2"/>
  <c r="AI115" i="2"/>
  <c r="AH41" i="2"/>
  <c r="AI128" i="2"/>
  <c r="AG69" i="2"/>
  <c r="AH69" i="2" s="1"/>
  <c r="AI149" i="2"/>
  <c r="AG72" i="2"/>
  <c r="AH72" i="2" s="1"/>
  <c r="AI60" i="2" s="1"/>
  <c r="AI101" i="2"/>
  <c r="AI132" i="2"/>
  <c r="AH137" i="2"/>
  <c r="AI75" i="2"/>
  <c r="AJ75" i="2" s="1"/>
  <c r="AK75" i="2" s="1"/>
  <c r="M56" i="1" s="1"/>
  <c r="AG46" i="2"/>
  <c r="AH46" i="2" s="1"/>
  <c r="AI172" i="2"/>
  <c r="AI140" i="2"/>
  <c r="AG61" i="2"/>
  <c r="AH61" i="2" s="1"/>
  <c r="AI83" i="2"/>
  <c r="AG167" i="2"/>
  <c r="AH124" i="2"/>
  <c r="AH151" i="2"/>
  <c r="AI141" i="2"/>
  <c r="AI146" i="2"/>
  <c r="AI142" i="2"/>
  <c r="AG77" i="2"/>
  <c r="AH77" i="2" s="1"/>
  <c r="AH152" i="2"/>
  <c r="AI157" i="2"/>
  <c r="AG49" i="2"/>
  <c r="AH49" i="2" s="1"/>
  <c r="AG85" i="2"/>
  <c r="AH85" i="2" s="1"/>
  <c r="AI167" i="2"/>
  <c r="AG166" i="2"/>
  <c r="AG170" i="2"/>
  <c r="AH130" i="2"/>
  <c r="AG160" i="2"/>
  <c r="AH125" i="2"/>
  <c r="AI139" i="2"/>
  <c r="AG144" i="2"/>
  <c r="AG172" i="2"/>
  <c r="AG82" i="2"/>
  <c r="AH82" i="2" s="1"/>
  <c r="AG59" i="2"/>
  <c r="AH59" i="2" s="1"/>
  <c r="AI154" i="2"/>
  <c r="AI90" i="2"/>
  <c r="AG178" i="2"/>
  <c r="AG145" i="2"/>
  <c r="AG101" i="2"/>
  <c r="AG150" i="2"/>
  <c r="AI99" i="2"/>
  <c r="Q29" i="2"/>
  <c r="Q32" i="2" s="1"/>
  <c r="AH133" i="2"/>
  <c r="AG50" i="2"/>
  <c r="AH50" i="2" s="1"/>
  <c r="AI175" i="2"/>
  <c r="AG41" i="2"/>
  <c r="AH141" i="2"/>
  <c r="AG88" i="2"/>
  <c r="AG86" i="2"/>
  <c r="AH86" i="2" s="1"/>
  <c r="AG63" i="2"/>
  <c r="AH63" i="2" s="1"/>
  <c r="AG95" i="2"/>
  <c r="AI152" i="2"/>
  <c r="AI144" i="2"/>
  <c r="AG162" i="2"/>
  <c r="AH132" i="2"/>
  <c r="AG120" i="2"/>
  <c r="AH163" i="2"/>
  <c r="AI81" i="2"/>
  <c r="AG164" i="2"/>
  <c r="AG163" i="2"/>
  <c r="AG36" i="2"/>
  <c r="AI114" i="2"/>
  <c r="AI162" i="2"/>
  <c r="AJ162" i="2" s="1"/>
  <c r="AI130" i="2"/>
  <c r="AI151" i="2"/>
  <c r="AG181" i="2"/>
  <c r="AG136" i="2"/>
  <c r="AH107" i="2"/>
  <c r="AG97" i="2"/>
  <c r="AG112" i="2"/>
  <c r="AG47" i="2"/>
  <c r="AH47" i="2" s="1"/>
  <c r="AI78" i="2"/>
  <c r="AG87" i="2"/>
  <c r="AH87" i="2" s="1"/>
  <c r="AJ87" i="2" s="1"/>
  <c r="AK87" i="2" s="1"/>
  <c r="M68" i="1" s="1"/>
  <c r="AI72" i="2"/>
  <c r="AI108" i="2"/>
  <c r="AG58" i="2"/>
  <c r="AH58" i="2" s="1"/>
  <c r="AH114" i="2"/>
  <c r="AH183" i="2"/>
  <c r="AJ183" i="2" s="1"/>
  <c r="AG80" i="2"/>
  <c r="AH80" i="2" s="1"/>
  <c r="AG81" i="2"/>
  <c r="AH81" i="2" s="1"/>
  <c r="AI51" i="2" s="1"/>
  <c r="AI88" i="2"/>
  <c r="AI182" i="2"/>
  <c r="AH135" i="2"/>
  <c r="AJ135" i="2" s="1"/>
  <c r="AH182" i="2"/>
  <c r="AI100" i="2"/>
  <c r="AG64" i="2"/>
  <c r="AH64" i="2" s="1"/>
  <c r="AG134" i="2"/>
  <c r="AG141" i="2"/>
  <c r="AI109" i="2"/>
  <c r="AI67" i="2"/>
  <c r="AJ67" i="2" s="1"/>
  <c r="AK67" i="2" s="1"/>
  <c r="M48" i="1" s="1"/>
  <c r="AG140" i="2"/>
  <c r="AG42" i="2"/>
  <c r="AH42" i="2" s="1"/>
  <c r="AG171" i="2"/>
  <c r="AG118" i="2"/>
  <c r="AG90" i="2"/>
  <c r="AI80" i="2"/>
  <c r="AH154" i="2"/>
  <c r="AI86" i="2"/>
  <c r="AG78" i="2"/>
  <c r="AH78" i="2" s="1"/>
  <c r="AH173" i="2"/>
  <c r="AH177" i="2"/>
  <c r="AH139" i="2"/>
  <c r="AJ139" i="2" s="1"/>
  <c r="AK139" i="2" s="1"/>
  <c r="M120" i="1" s="1"/>
  <c r="AI163" i="2"/>
  <c r="AG57" i="2"/>
  <c r="AH57" i="2" s="1"/>
  <c r="AG127" i="2"/>
  <c r="AH109" i="2"/>
  <c r="AG100" i="2"/>
  <c r="AI147" i="2"/>
  <c r="AH123" i="2"/>
  <c r="AH185" i="2"/>
  <c r="AI165" i="2"/>
  <c r="AG186" i="2"/>
  <c r="AH145" i="2"/>
  <c r="AI125" i="2"/>
  <c r="AI74" i="2"/>
  <c r="AG48" i="2"/>
  <c r="AH48" i="2" s="1"/>
  <c r="AG183" i="2"/>
  <c r="AG91" i="2"/>
  <c r="AI129" i="2"/>
  <c r="AG132" i="2"/>
  <c r="AG133" i="2"/>
  <c r="AG173" i="2"/>
  <c r="AI168" i="2"/>
  <c r="AH169" i="2"/>
  <c r="AG146" i="2"/>
  <c r="AI124" i="2"/>
  <c r="AJ124" i="2" s="1"/>
  <c r="AI159" i="2"/>
  <c r="AJ159" i="2" s="1"/>
  <c r="AH143" i="2"/>
  <c r="AJ143" i="2" s="1"/>
  <c r="AG74" i="2"/>
  <c r="AH74" i="2" s="1"/>
  <c r="AG92" i="2"/>
  <c r="AG99" i="2"/>
  <c r="AI71" i="2"/>
  <c r="AG177" i="2"/>
  <c r="AG147" i="2"/>
  <c r="AG165" i="2"/>
  <c r="AI69" i="2"/>
  <c r="AH150" i="2"/>
  <c r="AH89" i="2"/>
  <c r="AH166" i="2"/>
  <c r="AG56" i="2"/>
  <c r="AH56" i="2" s="1"/>
  <c r="AG66" i="2"/>
  <c r="AH66" i="2" s="1"/>
  <c r="AI160" i="2"/>
  <c r="AI158" i="2"/>
  <c r="AJ158" i="2" s="1"/>
  <c r="AH111" i="2"/>
  <c r="AJ111" i="2" s="1"/>
  <c r="AG37" i="2"/>
  <c r="AG179" i="2"/>
  <c r="AG155" i="2"/>
  <c r="AH112" i="2"/>
  <c r="AI70" i="2"/>
  <c r="AI103" i="2"/>
  <c r="AI169" i="2"/>
  <c r="AG161" i="2"/>
  <c r="AH92" i="2"/>
  <c r="AJ92" i="2" s="1"/>
  <c r="AG89" i="2"/>
  <c r="AI58" i="2"/>
  <c r="AH148" i="2"/>
  <c r="AG125" i="2"/>
  <c r="AI161" i="2"/>
  <c r="AG149" i="2"/>
  <c r="AH134" i="2"/>
  <c r="AH140" i="2"/>
  <c r="AG151" i="2"/>
  <c r="AG123" i="2"/>
  <c r="AI119" i="2"/>
  <c r="AH136" i="2"/>
  <c r="AI106" i="2"/>
  <c r="AH138" i="2"/>
  <c r="AI77" i="2"/>
  <c r="AG152" i="2"/>
  <c r="AH108" i="2"/>
  <c r="AH88" i="2"/>
  <c r="AI133" i="2"/>
  <c r="AI123" i="2"/>
  <c r="AG60" i="2"/>
  <c r="AH60" i="2" s="1"/>
  <c r="AH115" i="2"/>
  <c r="AH176" i="2"/>
  <c r="AH121" i="2"/>
  <c r="AG73" i="2"/>
  <c r="AH73" i="2" s="1"/>
  <c r="AI68" i="2"/>
  <c r="AH101" i="2"/>
  <c r="AJ101" i="2" s="1"/>
  <c r="AI166" i="2"/>
  <c r="AG128" i="2"/>
  <c r="AH170" i="2"/>
  <c r="AI57" i="2"/>
  <c r="AI54" i="2"/>
  <c r="AI48" i="2"/>
  <c r="AI52" i="2"/>
  <c r="AI45" i="2"/>
  <c r="AI44" i="2"/>
  <c r="AI49" i="2"/>
  <c r="AI47" i="2"/>
  <c r="AI55" i="2"/>
  <c r="AI66" i="2"/>
  <c r="AI46" i="2"/>
  <c r="AI53" i="2"/>
  <c r="AC85" i="2"/>
  <c r="AE85" i="2" s="1"/>
  <c r="AC145" i="2"/>
  <c r="AE145" i="2" s="1"/>
  <c r="AC141" i="2"/>
  <c r="AE141" i="2" s="1"/>
  <c r="AC98" i="2"/>
  <c r="AE98" i="2" s="1"/>
  <c r="AC37" i="2"/>
  <c r="AC94" i="2"/>
  <c r="AE94" i="2" s="1"/>
  <c r="AC160" i="2"/>
  <c r="AE160" i="2" s="1"/>
  <c r="AC170" i="2"/>
  <c r="AE170" i="2" s="1"/>
  <c r="AC46" i="2"/>
  <c r="AC148" i="2"/>
  <c r="AE148" i="2" s="1"/>
  <c r="AC97" i="2"/>
  <c r="AE97" i="2" s="1"/>
  <c r="AC137" i="2"/>
  <c r="AE137" i="2" s="1"/>
  <c r="AC122" i="2"/>
  <c r="AE122" i="2" s="1"/>
  <c r="AC127" i="2"/>
  <c r="AE127" i="2" s="1"/>
  <c r="AC159" i="2"/>
  <c r="AE159" i="2" s="1"/>
  <c r="AC125" i="2"/>
  <c r="AE125" i="2" s="1"/>
  <c r="AC120" i="2"/>
  <c r="AE120" i="2" s="1"/>
  <c r="AC74" i="2"/>
  <c r="AC43" i="2"/>
  <c r="AC81" i="2"/>
  <c r="AC78" i="2"/>
  <c r="AC36" i="2"/>
  <c r="AC121" i="2"/>
  <c r="AE121" i="2" s="1"/>
  <c r="AC182" i="2"/>
  <c r="AE182" i="2" s="1"/>
  <c r="AC180" i="2"/>
  <c r="AE180" i="2" s="1"/>
  <c r="AC119" i="2"/>
  <c r="AE119" i="2" s="1"/>
  <c r="AC95" i="2"/>
  <c r="AE95" i="2" s="1"/>
  <c r="AC169" i="2"/>
  <c r="AE169" i="2" s="1"/>
  <c r="AC38" i="2"/>
  <c r="AC151" i="2"/>
  <c r="AE151" i="2" s="1"/>
  <c r="AC172" i="2"/>
  <c r="AE172" i="2" s="1"/>
  <c r="AC101" i="2"/>
  <c r="AE101" i="2" s="1"/>
  <c r="AC66" i="2"/>
  <c r="AC57" i="2"/>
  <c r="AC184" i="2"/>
  <c r="AE184" i="2" s="1"/>
  <c r="AC171" i="2"/>
  <c r="AE171" i="2" s="1"/>
  <c r="AC100" i="2"/>
  <c r="AE100" i="2" s="1"/>
  <c r="AC158" i="2"/>
  <c r="AE158" i="2" s="1"/>
  <c r="AC175" i="2"/>
  <c r="AE175" i="2" s="1"/>
  <c r="AC64" i="2"/>
  <c r="AC39" i="2"/>
  <c r="AC47" i="2"/>
  <c r="AC88" i="2"/>
  <c r="AC48" i="2"/>
  <c r="AC54" i="2"/>
  <c r="AC99" i="2"/>
  <c r="AE99" i="2" s="1"/>
  <c r="AC111" i="2"/>
  <c r="AE111" i="2" s="1"/>
  <c r="AC173" i="2"/>
  <c r="AE173" i="2" s="1"/>
  <c r="AC86" i="2"/>
  <c r="AC70" i="2"/>
  <c r="AC52" i="2"/>
  <c r="AC58" i="2"/>
  <c r="AC186" i="2"/>
  <c r="AE186" i="2" s="1"/>
  <c r="AC51" i="2"/>
  <c r="AC128" i="2"/>
  <c r="AE128" i="2" s="1"/>
  <c r="AC146" i="2"/>
  <c r="AE146" i="2" s="1"/>
  <c r="AC71" i="2"/>
  <c r="AC69" i="2"/>
  <c r="AC104" i="2"/>
  <c r="AE104" i="2" s="1"/>
  <c r="AC55" i="2"/>
  <c r="AC45" i="2"/>
  <c r="AC139" i="2"/>
  <c r="AE139" i="2" s="1"/>
  <c r="AC44" i="2"/>
  <c r="AC154" i="2"/>
  <c r="AE154" i="2" s="1"/>
  <c r="AC62" i="2"/>
  <c r="AC147" i="2"/>
  <c r="AE147" i="2" s="1"/>
  <c r="AC129" i="2"/>
  <c r="AE129" i="2" s="1"/>
  <c r="AC60" i="2"/>
  <c r="AC105" i="2"/>
  <c r="AE105" i="2" s="1"/>
  <c r="AC102" i="2"/>
  <c r="AE102" i="2" s="1"/>
  <c r="AC156" i="2"/>
  <c r="AE156" i="2" s="1"/>
  <c r="AC130" i="2"/>
  <c r="AE130" i="2" s="1"/>
  <c r="AC168" i="2"/>
  <c r="AE168" i="2" s="1"/>
  <c r="AC165" i="2"/>
  <c r="AE165" i="2" s="1"/>
  <c r="AC133" i="2"/>
  <c r="AE133" i="2" s="1"/>
  <c r="AC103" i="2"/>
  <c r="AE103" i="2" s="1"/>
  <c r="AC77" i="2"/>
  <c r="AC117" i="2"/>
  <c r="AE117" i="2" s="1"/>
  <c r="AC140" i="2"/>
  <c r="AE140" i="2" s="1"/>
  <c r="AC75" i="2"/>
  <c r="AC41" i="2"/>
  <c r="AC118" i="2"/>
  <c r="AE118" i="2" s="1"/>
  <c r="AC178" i="2"/>
  <c r="AE178" i="2" s="1"/>
  <c r="AC138" i="2"/>
  <c r="AE138" i="2" s="1"/>
  <c r="AC161" i="2"/>
  <c r="AE161" i="2" s="1"/>
  <c r="AC108" i="2"/>
  <c r="AE108" i="2" s="1"/>
  <c r="AC112" i="2"/>
  <c r="AE112" i="2" s="1"/>
  <c r="AC82" i="2"/>
  <c r="AC89" i="2"/>
  <c r="AC92" i="2"/>
  <c r="AC50" i="2"/>
  <c r="AC91" i="2"/>
  <c r="AC116" i="2"/>
  <c r="AE116" i="2" s="1"/>
  <c r="AC134" i="2"/>
  <c r="AE134" i="2" s="1"/>
  <c r="AC73" i="2"/>
  <c r="AC144" i="2"/>
  <c r="AE144" i="2" s="1"/>
  <c r="AC155" i="2"/>
  <c r="AE155" i="2" s="1"/>
  <c r="AC67" i="2"/>
  <c r="AC83" i="2"/>
  <c r="AC132" i="2"/>
  <c r="AE132" i="2" s="1"/>
  <c r="AC56" i="2"/>
  <c r="AC109" i="2"/>
  <c r="AE109" i="2" s="1"/>
  <c r="AC136" i="2"/>
  <c r="AE136" i="2" s="1"/>
  <c r="AC59" i="2"/>
  <c r="AC68" i="2"/>
  <c r="AC113" i="2"/>
  <c r="AE113" i="2" s="1"/>
  <c r="AC87" i="2"/>
  <c r="AC90" i="2"/>
  <c r="AC42" i="2"/>
  <c r="AC142" i="2"/>
  <c r="AE142" i="2" s="1"/>
  <c r="AC152" i="2"/>
  <c r="AE152" i="2" s="1"/>
  <c r="AC124" i="2"/>
  <c r="AE124" i="2" s="1"/>
  <c r="AC96" i="2"/>
  <c r="AE96" i="2" s="1"/>
  <c r="AC177" i="2"/>
  <c r="AE177" i="2" s="1"/>
  <c r="AC166" i="2"/>
  <c r="AE166" i="2" s="1"/>
  <c r="AC110" i="2"/>
  <c r="AE110" i="2" s="1"/>
  <c r="AC123" i="2"/>
  <c r="AE123" i="2" s="1"/>
  <c r="AC167" i="2"/>
  <c r="AE167" i="2" s="1"/>
  <c r="AC93" i="2"/>
  <c r="AC162" i="2"/>
  <c r="AE162" i="2" s="1"/>
  <c r="AC76" i="2"/>
  <c r="AC126" i="2"/>
  <c r="AE126" i="2" s="1"/>
  <c r="AC174" i="2"/>
  <c r="AE174" i="2" s="1"/>
  <c r="AC79" i="2"/>
  <c r="AC157" i="2"/>
  <c r="AE157" i="2" s="1"/>
  <c r="AC181" i="2"/>
  <c r="AE181" i="2" s="1"/>
  <c r="AC106" i="2"/>
  <c r="AE106" i="2" s="1"/>
  <c r="AC40" i="2"/>
  <c r="AC72" i="2"/>
  <c r="AC153" i="2"/>
  <c r="AE153" i="2" s="1"/>
  <c r="AC135" i="2"/>
  <c r="AE135" i="2" s="1"/>
  <c r="AC149" i="2"/>
  <c r="AE149" i="2" s="1"/>
  <c r="AC143" i="2"/>
  <c r="AE143" i="2" s="1"/>
  <c r="AC114" i="2"/>
  <c r="AE114" i="2" s="1"/>
  <c r="AC179" i="2"/>
  <c r="AE179" i="2" s="1"/>
  <c r="AC53" i="2"/>
  <c r="AC63" i="2"/>
  <c r="AC163" i="2"/>
  <c r="AE163" i="2" s="1"/>
  <c r="AC84" i="2"/>
  <c r="AC183" i="2"/>
  <c r="AE183" i="2" s="1"/>
  <c r="AC131" i="2"/>
  <c r="AE131" i="2" s="1"/>
  <c r="AC150" i="2"/>
  <c r="AE150" i="2" s="1"/>
  <c r="AC164" i="2"/>
  <c r="AE164" i="2" s="1"/>
  <c r="AC65" i="2"/>
  <c r="AC115" i="2"/>
  <c r="AE115" i="2" s="1"/>
  <c r="AC107" i="2"/>
  <c r="AE107" i="2" s="1"/>
  <c r="AC176" i="2"/>
  <c r="AE176" i="2" s="1"/>
  <c r="AC185" i="2"/>
  <c r="AE185" i="2" s="1"/>
  <c r="AC61" i="2"/>
  <c r="AC80" i="2"/>
  <c r="AC49" i="2"/>
  <c r="AI40" i="2" l="1"/>
  <c r="AJ40" i="2" s="1"/>
  <c r="AI43" i="2"/>
  <c r="AJ131" i="2"/>
  <c r="AJ180" i="2"/>
  <c r="AK180" i="2" s="1"/>
  <c r="M161" i="1" s="1"/>
  <c r="AJ119" i="2"/>
  <c r="AK119" i="2" s="1"/>
  <c r="M100" i="1" s="1"/>
  <c r="AJ120" i="2"/>
  <c r="AK120" i="2" s="1"/>
  <c r="M101" i="1" s="1"/>
  <c r="AJ51" i="2"/>
  <c r="AK51" i="2" s="1"/>
  <c r="AJ170" i="2"/>
  <c r="AK170" i="2" s="1"/>
  <c r="M151" i="1" s="1"/>
  <c r="AJ106" i="2"/>
  <c r="AJ185" i="2"/>
  <c r="AJ127" i="2"/>
  <c r="AJ100" i="2"/>
  <c r="AK100" i="2" s="1"/>
  <c r="M81" i="1" s="1"/>
  <c r="AJ144" i="2"/>
  <c r="AK144" i="2" s="1"/>
  <c r="M125" i="1" s="1"/>
  <c r="AJ157" i="2"/>
  <c r="AK157" i="2" s="1"/>
  <c r="M138" i="1" s="1"/>
  <c r="AJ138" i="2"/>
  <c r="AK138" i="2" s="1"/>
  <c r="M119" i="1" s="1"/>
  <c r="AK40" i="2"/>
  <c r="AJ161" i="2"/>
  <c r="AJ160" i="2"/>
  <c r="AJ84" i="2"/>
  <c r="AK84" i="2" s="1"/>
  <c r="M65" i="1" s="1"/>
  <c r="AJ107" i="2"/>
  <c r="AK107" i="2" s="1"/>
  <c r="M88" i="1" s="1"/>
  <c r="AJ186" i="2"/>
  <c r="AK186" i="2" s="1"/>
  <c r="M167" i="1" s="1"/>
  <c r="AJ110" i="2"/>
  <c r="AK110" i="2" s="1"/>
  <c r="M91" i="1" s="1"/>
  <c r="AK106" i="2"/>
  <c r="M87" i="1" s="1"/>
  <c r="AJ168" i="2"/>
  <c r="AK168" i="2" s="1"/>
  <c r="M149" i="1" s="1"/>
  <c r="AJ53" i="2"/>
  <c r="AK53" i="2" s="1"/>
  <c r="AJ118" i="2"/>
  <c r="AJ73" i="2"/>
  <c r="AK73" i="2" s="1"/>
  <c r="M54" i="1" s="1"/>
  <c r="AJ121" i="2"/>
  <c r="AK121" i="2" s="1"/>
  <c r="M102" i="1" s="1"/>
  <c r="AJ145" i="2"/>
  <c r="AJ99" i="2"/>
  <c r="AK99" i="2" s="1"/>
  <c r="M80" i="1" s="1"/>
  <c r="AJ91" i="2"/>
  <c r="AK91" i="2" s="1"/>
  <c r="M72" i="1" s="1"/>
  <c r="AJ54" i="2"/>
  <c r="AK54" i="2" s="1"/>
  <c r="AJ133" i="2"/>
  <c r="AJ96" i="2"/>
  <c r="AK96" i="2" s="1"/>
  <c r="M77" i="1" s="1"/>
  <c r="AJ148" i="2"/>
  <c r="AK148" i="2" s="1"/>
  <c r="M129" i="1" s="1"/>
  <c r="AJ173" i="2"/>
  <c r="AK173" i="2" s="1"/>
  <c r="M154" i="1" s="1"/>
  <c r="AJ43" i="2"/>
  <c r="AK43" i="2" s="1"/>
  <c r="AK174" i="2"/>
  <c r="M155" i="1" s="1"/>
  <c r="AJ165" i="2"/>
  <c r="AK165" i="2" s="1"/>
  <c r="M146" i="1" s="1"/>
  <c r="AK104" i="2"/>
  <c r="M85" i="1" s="1"/>
  <c r="AJ166" i="2"/>
  <c r="AK166" i="2" s="1"/>
  <c r="M147" i="1" s="1"/>
  <c r="AJ175" i="2"/>
  <c r="AK175" i="2" s="1"/>
  <c r="M156" i="1" s="1"/>
  <c r="AJ155" i="2"/>
  <c r="AK155" i="2" s="1"/>
  <c r="M136" i="1" s="1"/>
  <c r="AJ152" i="2"/>
  <c r="AK152" i="2" s="1"/>
  <c r="M133" i="1" s="1"/>
  <c r="AJ178" i="2"/>
  <c r="AK178" i="2" s="1"/>
  <c r="M159" i="1" s="1"/>
  <c r="AJ164" i="2"/>
  <c r="AK164" i="2" s="1"/>
  <c r="M145" i="1" s="1"/>
  <c r="AI41" i="2"/>
  <c r="AJ41" i="2" s="1"/>
  <c r="AK41" i="2" s="1"/>
  <c r="AJ68" i="2"/>
  <c r="AK68" i="2" s="1"/>
  <c r="M49" i="1" s="1"/>
  <c r="AJ94" i="2"/>
  <c r="AK94" i="2" s="1"/>
  <c r="M75" i="1" s="1"/>
  <c r="AJ55" i="2"/>
  <c r="AK55" i="2" s="1"/>
  <c r="AJ52" i="2"/>
  <c r="AK52" i="2" s="1"/>
  <c r="AK98" i="2"/>
  <c r="M79" i="1" s="1"/>
  <c r="AJ108" i="2"/>
  <c r="AK108" i="2" s="1"/>
  <c r="M89" i="1" s="1"/>
  <c r="AJ142" i="2"/>
  <c r="AK142" i="2" s="1"/>
  <c r="M123" i="1" s="1"/>
  <c r="AK122" i="2"/>
  <c r="M103" i="1" s="1"/>
  <c r="AJ105" i="2"/>
  <c r="AK105" i="2" s="1"/>
  <c r="M86" i="1" s="1"/>
  <c r="AJ179" i="2"/>
  <c r="AK179" i="2" s="1"/>
  <c r="M160" i="1" s="1"/>
  <c r="AJ150" i="2"/>
  <c r="AK150" i="2" s="1"/>
  <c r="M131" i="1" s="1"/>
  <c r="AJ74" i="2"/>
  <c r="AK74" i="2" s="1"/>
  <c r="M55" i="1" s="1"/>
  <c r="AJ154" i="2"/>
  <c r="AK154" i="2" s="1"/>
  <c r="M135" i="1" s="1"/>
  <c r="AJ82" i="2"/>
  <c r="AK82" i="2" s="1"/>
  <c r="M63" i="1" s="1"/>
  <c r="AJ113" i="2"/>
  <c r="AK113" i="2" s="1"/>
  <c r="M94" i="1" s="1"/>
  <c r="AJ77" i="2"/>
  <c r="AK77" i="2" s="1"/>
  <c r="M58" i="1" s="1"/>
  <c r="AJ137" i="2"/>
  <c r="AK137" i="2" s="1"/>
  <c r="M118" i="1" s="1"/>
  <c r="AI36" i="2"/>
  <c r="AJ36" i="2" s="1"/>
  <c r="AK36" i="2" s="1"/>
  <c r="AJ177" i="2"/>
  <c r="AK177" i="2" s="1"/>
  <c r="M158" i="1" s="1"/>
  <c r="AK159" i="2"/>
  <c r="M140" i="1" s="1"/>
  <c r="AJ50" i="2"/>
  <c r="AK50" i="2" s="1"/>
  <c r="AJ83" i="2"/>
  <c r="AK83" i="2" s="1"/>
  <c r="M64" i="1" s="1"/>
  <c r="AI37" i="2"/>
  <c r="AJ37" i="2" s="1"/>
  <c r="AK37" i="2" s="1"/>
  <c r="AJ79" i="2"/>
  <c r="AK79" i="2" s="1"/>
  <c r="M60" i="1" s="1"/>
  <c r="AJ134" i="2"/>
  <c r="AK134" i="2" s="1"/>
  <c r="M115" i="1" s="1"/>
  <c r="AK143" i="2"/>
  <c r="M124" i="1" s="1"/>
  <c r="AJ130" i="2"/>
  <c r="AK130" i="2" s="1"/>
  <c r="M111" i="1" s="1"/>
  <c r="AJ182" i="2"/>
  <c r="AK182" i="2" s="1"/>
  <c r="M163" i="1" s="1"/>
  <c r="AJ115" i="2"/>
  <c r="AK115" i="2" s="1"/>
  <c r="M96" i="1" s="1"/>
  <c r="AB42" i="2"/>
  <c r="AJ76" i="2"/>
  <c r="AK76" i="2" s="1"/>
  <c r="M57" i="1" s="1"/>
  <c r="AB103" i="2"/>
  <c r="AF103" i="2" s="1"/>
  <c r="L84" i="1" s="1"/>
  <c r="AB90" i="2"/>
  <c r="AB95" i="2"/>
  <c r="AF95" i="2" s="1"/>
  <c r="L76" i="1" s="1"/>
  <c r="AB65" i="2"/>
  <c r="AJ147" i="2"/>
  <c r="AK147" i="2" s="1"/>
  <c r="M128" i="1" s="1"/>
  <c r="AB129" i="2"/>
  <c r="AF129" i="2" s="1"/>
  <c r="L110" i="1" s="1"/>
  <c r="AB154" i="2"/>
  <c r="AF154" i="2" s="1"/>
  <c r="L135" i="1" s="1"/>
  <c r="AJ44" i="2"/>
  <c r="AK44" i="2" s="1"/>
  <c r="AJ176" i="2"/>
  <c r="AK176" i="2" s="1"/>
  <c r="M157" i="1" s="1"/>
  <c r="AJ128" i="2"/>
  <c r="AK128" i="2" s="1"/>
  <c r="M109" i="1" s="1"/>
  <c r="AJ172" i="2"/>
  <c r="AK172" i="2" s="1"/>
  <c r="M153" i="1" s="1"/>
  <c r="AK93" i="2"/>
  <c r="M74" i="1" s="1"/>
  <c r="AJ132" i="2"/>
  <c r="AK132" i="2" s="1"/>
  <c r="M113" i="1" s="1"/>
  <c r="AJ85" i="2"/>
  <c r="AK85" i="2" s="1"/>
  <c r="M66" i="1" s="1"/>
  <c r="AJ117" i="2"/>
  <c r="AK117" i="2" s="1"/>
  <c r="M98" i="1" s="1"/>
  <c r="AJ90" i="2"/>
  <c r="AK90" i="2" s="1"/>
  <c r="M71" i="1" s="1"/>
  <c r="AJ125" i="2"/>
  <c r="AK125" i="2" s="1"/>
  <c r="M106" i="1" s="1"/>
  <c r="AK160" i="2"/>
  <c r="M141" i="1" s="1"/>
  <c r="AJ56" i="2"/>
  <c r="AK56" i="2" s="1"/>
  <c r="M37" i="1" s="1"/>
  <c r="AJ181" i="2"/>
  <c r="AK181" i="2" s="1"/>
  <c r="M162" i="1" s="1"/>
  <c r="AK116" i="2"/>
  <c r="M97" i="1" s="1"/>
  <c r="AB112" i="2"/>
  <c r="AF112" i="2" s="1"/>
  <c r="L93" i="1" s="1"/>
  <c r="AB73" i="2"/>
  <c r="AJ88" i="2"/>
  <c r="AK88" i="2" s="1"/>
  <c r="M69" i="1" s="1"/>
  <c r="AJ167" i="2"/>
  <c r="AK167" i="2" s="1"/>
  <c r="M148" i="1" s="1"/>
  <c r="AB77" i="2"/>
  <c r="AB62" i="2"/>
  <c r="AK184" i="2"/>
  <c r="M165" i="1" s="1"/>
  <c r="AB121" i="2"/>
  <c r="AF121" i="2" s="1"/>
  <c r="L102" i="1" s="1"/>
  <c r="AB100" i="2"/>
  <c r="AF100" i="2" s="1"/>
  <c r="L81" i="1" s="1"/>
  <c r="AB126" i="2"/>
  <c r="AF126" i="2" s="1"/>
  <c r="L107" i="1" s="1"/>
  <c r="AB131" i="2"/>
  <c r="AF131" i="2" s="1"/>
  <c r="L112" i="1" s="1"/>
  <c r="AB55" i="2"/>
  <c r="AB64" i="2"/>
  <c r="AB97" i="2"/>
  <c r="AF97" i="2" s="1"/>
  <c r="L78" i="1" s="1"/>
  <c r="AB50" i="2"/>
  <c r="AK102" i="2"/>
  <c r="M83" i="1" s="1"/>
  <c r="AJ46" i="2"/>
  <c r="AK46" i="2" s="1"/>
  <c r="AK145" i="2"/>
  <c r="M126" i="1" s="1"/>
  <c r="AJ151" i="2"/>
  <c r="AK151" i="2" s="1"/>
  <c r="M132" i="1" s="1"/>
  <c r="AJ146" i="2"/>
  <c r="AK146" i="2" s="1"/>
  <c r="M127" i="1" s="1"/>
  <c r="AJ149" i="2"/>
  <c r="AK149" i="2" s="1"/>
  <c r="M130" i="1" s="1"/>
  <c r="AK131" i="2"/>
  <c r="M112" i="1" s="1"/>
  <c r="AJ141" i="2"/>
  <c r="AK141" i="2" s="1"/>
  <c r="M122" i="1" s="1"/>
  <c r="AK185" i="2"/>
  <c r="M166" i="1" s="1"/>
  <c r="AJ49" i="2"/>
  <c r="AK49" i="2" s="1"/>
  <c r="AK95" i="2"/>
  <c r="M76" i="1" s="1"/>
  <c r="AK126" i="2"/>
  <c r="M107" i="1" s="1"/>
  <c r="AJ129" i="2"/>
  <c r="AK129" i="2" s="1"/>
  <c r="M110" i="1" s="1"/>
  <c r="AB135" i="2"/>
  <c r="AF135" i="2" s="1"/>
  <c r="L116" i="1" s="1"/>
  <c r="AB68" i="2"/>
  <c r="AB138" i="2"/>
  <c r="AF138" i="2" s="1"/>
  <c r="L119" i="1" s="1"/>
  <c r="AB71" i="2"/>
  <c r="AB152" i="2"/>
  <c r="AF152" i="2" s="1"/>
  <c r="L133" i="1" s="1"/>
  <c r="AB99" i="2"/>
  <c r="AF99" i="2" s="1"/>
  <c r="L80" i="1" s="1"/>
  <c r="AJ140" i="2"/>
  <c r="AK140" i="2" s="1"/>
  <c r="M121" i="1" s="1"/>
  <c r="AK92" i="2"/>
  <c r="M73" i="1" s="1"/>
  <c r="AJ86" i="2"/>
  <c r="AK86" i="2" s="1"/>
  <c r="M67" i="1" s="1"/>
  <c r="AB119" i="2"/>
  <c r="AF119" i="2" s="1"/>
  <c r="L100" i="1" s="1"/>
  <c r="AB147" i="2"/>
  <c r="AF147" i="2" s="1"/>
  <c r="L128" i="1" s="1"/>
  <c r="AB41" i="2"/>
  <c r="AB174" i="2"/>
  <c r="AF174" i="2" s="1"/>
  <c r="L155" i="1" s="1"/>
  <c r="AB153" i="2"/>
  <c r="AF153" i="2" s="1"/>
  <c r="L134" i="1" s="1"/>
  <c r="AB145" i="2"/>
  <c r="AF145" i="2" s="1"/>
  <c r="L126" i="1" s="1"/>
  <c r="AB151" i="2"/>
  <c r="AF151" i="2" s="1"/>
  <c r="L132" i="1" s="1"/>
  <c r="AB104" i="2"/>
  <c r="AF104" i="2" s="1"/>
  <c r="L85" i="1" s="1"/>
  <c r="AB91" i="2"/>
  <c r="AB143" i="2"/>
  <c r="AF143" i="2" s="1"/>
  <c r="L124" i="1" s="1"/>
  <c r="AB148" i="2"/>
  <c r="AF148" i="2" s="1"/>
  <c r="L129" i="1" s="1"/>
  <c r="AB105" i="2"/>
  <c r="AF105" i="2" s="1"/>
  <c r="L86" i="1" s="1"/>
  <c r="AB87" i="2"/>
  <c r="AB123" i="2"/>
  <c r="AF123" i="2" s="1"/>
  <c r="L104" i="1" s="1"/>
  <c r="AB53" i="2"/>
  <c r="AB161" i="2"/>
  <c r="AF161" i="2" s="1"/>
  <c r="L142" i="1" s="1"/>
  <c r="AB176" i="2"/>
  <c r="AF176" i="2" s="1"/>
  <c r="L157" i="1" s="1"/>
  <c r="AB144" i="2"/>
  <c r="AF144" i="2" s="1"/>
  <c r="L125" i="1" s="1"/>
  <c r="AB59" i="2"/>
  <c r="AK111" i="2"/>
  <c r="M92" i="1" s="1"/>
  <c r="AB63" i="2"/>
  <c r="AB165" i="2"/>
  <c r="AF165" i="2" s="1"/>
  <c r="L146" i="1" s="1"/>
  <c r="AB139" i="2"/>
  <c r="AF139" i="2" s="1"/>
  <c r="L120" i="1" s="1"/>
  <c r="AB93" i="2"/>
  <c r="AB48" i="2"/>
  <c r="AB157" i="2"/>
  <c r="AF157" i="2" s="1"/>
  <c r="L138" i="1" s="1"/>
  <c r="AB168" i="2"/>
  <c r="AF168" i="2" s="1"/>
  <c r="L149" i="1" s="1"/>
  <c r="AB133" i="2"/>
  <c r="AF133" i="2" s="1"/>
  <c r="L114" i="1" s="1"/>
  <c r="AB134" i="2"/>
  <c r="AF134" i="2" s="1"/>
  <c r="L115" i="1" s="1"/>
  <c r="AB51" i="2"/>
  <c r="AB137" i="2"/>
  <c r="AF137" i="2" s="1"/>
  <c r="L118" i="1" s="1"/>
  <c r="AB114" i="2"/>
  <c r="AF114" i="2" s="1"/>
  <c r="L95" i="1" s="1"/>
  <c r="AB163" i="2"/>
  <c r="AF163" i="2" s="1"/>
  <c r="L144" i="1" s="1"/>
  <c r="AB69" i="2"/>
  <c r="AB118" i="2"/>
  <c r="AF118" i="2" s="1"/>
  <c r="L99" i="1" s="1"/>
  <c r="AB37" i="2"/>
  <c r="AB38" i="2"/>
  <c r="AB171" i="2"/>
  <c r="AF171" i="2" s="1"/>
  <c r="L152" i="1" s="1"/>
  <c r="AB54" i="2"/>
  <c r="AB83" i="2"/>
  <c r="AB170" i="2"/>
  <c r="AF170" i="2" s="1"/>
  <c r="L151" i="1" s="1"/>
  <c r="AB82" i="2"/>
  <c r="AB169" i="2"/>
  <c r="AF169" i="2" s="1"/>
  <c r="L150" i="1" s="1"/>
  <c r="AB111" i="2"/>
  <c r="AF111" i="2" s="1"/>
  <c r="L92" i="1" s="1"/>
  <c r="AB67" i="2"/>
  <c r="AB96" i="2"/>
  <c r="AF96" i="2" s="1"/>
  <c r="L77" i="1" s="1"/>
  <c r="AJ103" i="2"/>
  <c r="AK103" i="2" s="1"/>
  <c r="M84" i="1" s="1"/>
  <c r="AK124" i="2"/>
  <c r="M105" i="1" s="1"/>
  <c r="AB146" i="2"/>
  <c r="AF146" i="2" s="1"/>
  <c r="L127" i="1" s="1"/>
  <c r="AB85" i="2"/>
  <c r="AF85" i="2" s="1"/>
  <c r="L66" i="1" s="1"/>
  <c r="AB108" i="2"/>
  <c r="AF108" i="2" s="1"/>
  <c r="L89" i="1" s="1"/>
  <c r="AB88" i="2"/>
  <c r="AB49" i="2"/>
  <c r="AB76" i="2"/>
  <c r="AB117" i="2"/>
  <c r="AF117" i="2" s="1"/>
  <c r="L98" i="1" s="1"/>
  <c r="AB136" i="2"/>
  <c r="AF136" i="2" s="1"/>
  <c r="L117" i="1" s="1"/>
  <c r="AB142" i="2"/>
  <c r="AF142" i="2" s="1"/>
  <c r="L123" i="1" s="1"/>
  <c r="AB132" i="2"/>
  <c r="AF132" i="2" s="1"/>
  <c r="L113" i="1" s="1"/>
  <c r="AB172" i="2"/>
  <c r="AF172" i="2" s="1"/>
  <c r="L153" i="1" s="1"/>
  <c r="AB47" i="2"/>
  <c r="AK158" i="2"/>
  <c r="M139" i="1" s="1"/>
  <c r="AB107" i="2"/>
  <c r="AF107" i="2" s="1"/>
  <c r="L88" i="1" s="1"/>
  <c r="AB178" i="2"/>
  <c r="AF178" i="2" s="1"/>
  <c r="L159" i="1" s="1"/>
  <c r="AB167" i="2"/>
  <c r="AF167" i="2" s="1"/>
  <c r="L148" i="1" s="1"/>
  <c r="AB46" i="2"/>
  <c r="AB43" i="2"/>
  <c r="AB45" i="2"/>
  <c r="AB80" i="2"/>
  <c r="AJ136" i="2"/>
  <c r="AK136" i="2" s="1"/>
  <c r="M117" i="1" s="1"/>
  <c r="AB79" i="2"/>
  <c r="AB84" i="2"/>
  <c r="AB140" i="2"/>
  <c r="AF140" i="2" s="1"/>
  <c r="L121" i="1" s="1"/>
  <c r="AB185" i="2"/>
  <c r="AF185" i="2" s="1"/>
  <c r="L166" i="1" s="1"/>
  <c r="AB106" i="2"/>
  <c r="AF106" i="2" s="1"/>
  <c r="L87" i="1" s="1"/>
  <c r="AB122" i="2"/>
  <c r="AF122" i="2" s="1"/>
  <c r="L103" i="1" s="1"/>
  <c r="AB72" i="2"/>
  <c r="AB78" i="2"/>
  <c r="AB186" i="2"/>
  <c r="AF186" i="2" s="1"/>
  <c r="L167" i="1" s="1"/>
  <c r="AB116" i="2"/>
  <c r="AF116" i="2" s="1"/>
  <c r="L97" i="1" s="1"/>
  <c r="AB158" i="2"/>
  <c r="AF158" i="2" s="1"/>
  <c r="L139" i="1" s="1"/>
  <c r="AB124" i="2"/>
  <c r="AF124" i="2" s="1"/>
  <c r="L105" i="1" s="1"/>
  <c r="AB141" i="2"/>
  <c r="AF141" i="2" s="1"/>
  <c r="L122" i="1" s="1"/>
  <c r="AB102" i="2"/>
  <c r="AF102" i="2" s="1"/>
  <c r="L83" i="1" s="1"/>
  <c r="AB181" i="2"/>
  <c r="AF181" i="2" s="1"/>
  <c r="L162" i="1" s="1"/>
  <c r="AB160" i="2"/>
  <c r="AF160" i="2" s="1"/>
  <c r="L141" i="1" s="1"/>
  <c r="AB164" i="2"/>
  <c r="AF164" i="2" s="1"/>
  <c r="L145" i="1" s="1"/>
  <c r="AB60" i="2"/>
  <c r="AB183" i="2"/>
  <c r="AF183" i="2" s="1"/>
  <c r="L164" i="1" s="1"/>
  <c r="AK135" i="2"/>
  <c r="M116" i="1" s="1"/>
  <c r="AJ45" i="2"/>
  <c r="AK45" i="2" s="1"/>
  <c r="AK101" i="2"/>
  <c r="M82" i="1" s="1"/>
  <c r="AJ112" i="2"/>
  <c r="AK112" i="2" s="1"/>
  <c r="M93" i="1" s="1"/>
  <c r="AB173" i="2"/>
  <c r="AF173" i="2" s="1"/>
  <c r="L154" i="1" s="1"/>
  <c r="AB184" i="2"/>
  <c r="AF184" i="2" s="1"/>
  <c r="L165" i="1" s="1"/>
  <c r="AB177" i="2"/>
  <c r="AF177" i="2" s="1"/>
  <c r="L158" i="1" s="1"/>
  <c r="AB149" i="2"/>
  <c r="AF149" i="2" s="1"/>
  <c r="L130" i="1" s="1"/>
  <c r="AB155" i="2"/>
  <c r="AF155" i="2" s="1"/>
  <c r="L136" i="1" s="1"/>
  <c r="AB150" i="2"/>
  <c r="AF150" i="2" s="1"/>
  <c r="L131" i="1" s="1"/>
  <c r="AB74" i="2"/>
  <c r="AB66" i="2"/>
  <c r="AB70" i="2"/>
  <c r="AB120" i="2"/>
  <c r="AF120" i="2" s="1"/>
  <c r="L101" i="1" s="1"/>
  <c r="AB89" i="2"/>
  <c r="AB182" i="2"/>
  <c r="AF182" i="2" s="1"/>
  <c r="L163" i="1" s="1"/>
  <c r="AB110" i="2"/>
  <c r="AF110" i="2" s="1"/>
  <c r="L91" i="1" s="1"/>
  <c r="AB179" i="2"/>
  <c r="AF179" i="2" s="1"/>
  <c r="L160" i="1" s="1"/>
  <c r="AB44" i="2"/>
  <c r="AB159" i="2"/>
  <c r="AF159" i="2" s="1"/>
  <c r="L140" i="1" s="1"/>
  <c r="AB58" i="2"/>
  <c r="AB109" i="2"/>
  <c r="AF109" i="2" s="1"/>
  <c r="L90" i="1" s="1"/>
  <c r="AB86" i="2"/>
  <c r="AB115" i="2"/>
  <c r="AF115" i="2" s="1"/>
  <c r="L96" i="1" s="1"/>
  <c r="AB128" i="2"/>
  <c r="AF128" i="2" s="1"/>
  <c r="L109" i="1" s="1"/>
  <c r="AB156" i="2"/>
  <c r="AF156" i="2" s="1"/>
  <c r="L137" i="1" s="1"/>
  <c r="AB180" i="2"/>
  <c r="AF180" i="2" s="1"/>
  <c r="L161" i="1" s="1"/>
  <c r="AB175" i="2"/>
  <c r="AF175" i="2" s="1"/>
  <c r="L156" i="1" s="1"/>
  <c r="AB94" i="2"/>
  <c r="AF94" i="2" s="1"/>
  <c r="L75" i="1" s="1"/>
  <c r="AB125" i="2"/>
  <c r="AF125" i="2" s="1"/>
  <c r="L106" i="1" s="1"/>
  <c r="AB166" i="2"/>
  <c r="AF166" i="2" s="1"/>
  <c r="L147" i="1" s="1"/>
  <c r="AB130" i="2"/>
  <c r="AF130" i="2" s="1"/>
  <c r="L111" i="1" s="1"/>
  <c r="AB81" i="2"/>
  <c r="AB57" i="2"/>
  <c r="AB113" i="2"/>
  <c r="AF113" i="2" s="1"/>
  <c r="L94" i="1" s="1"/>
  <c r="AB75" i="2"/>
  <c r="AB39" i="2"/>
  <c r="AB36" i="2"/>
  <c r="AB101" i="2"/>
  <c r="AF101" i="2" s="1"/>
  <c r="L82" i="1" s="1"/>
  <c r="AB61" i="2"/>
  <c r="AB162" i="2"/>
  <c r="AF162" i="2" s="1"/>
  <c r="L143" i="1" s="1"/>
  <c r="AB56" i="2"/>
  <c r="AB52" i="2"/>
  <c r="AB98" i="2"/>
  <c r="AF98" i="2" s="1"/>
  <c r="L79" i="1" s="1"/>
  <c r="AB127" i="2"/>
  <c r="AF127" i="2" s="1"/>
  <c r="L108" i="1" s="1"/>
  <c r="AB40" i="2"/>
  <c r="AB92" i="2"/>
  <c r="AJ78" i="2"/>
  <c r="AK78" i="2" s="1"/>
  <c r="M59" i="1" s="1"/>
  <c r="AJ163" i="2"/>
  <c r="AK163" i="2" s="1"/>
  <c r="M144" i="1" s="1"/>
  <c r="AJ80" i="2"/>
  <c r="AK80" i="2" s="1"/>
  <c r="M61" i="1" s="1"/>
  <c r="AJ169" i="2"/>
  <c r="AK169" i="2" s="1"/>
  <c r="M150" i="1" s="1"/>
  <c r="AJ47" i="2"/>
  <c r="AK47" i="2" s="1"/>
  <c r="AK162" i="2"/>
  <c r="M143" i="1" s="1"/>
  <c r="AJ57" i="2"/>
  <c r="AK57" i="2" s="1"/>
  <c r="M38" i="1" s="1"/>
  <c r="AK118" i="2"/>
  <c r="M99" i="1" s="1"/>
  <c r="AJ69" i="2"/>
  <c r="AK69" i="2" s="1"/>
  <c r="M50" i="1" s="1"/>
  <c r="AJ114" i="2"/>
  <c r="AK114" i="2" s="1"/>
  <c r="M95" i="1" s="1"/>
  <c r="AK133" i="2"/>
  <c r="M114" i="1" s="1"/>
  <c r="AJ60" i="2"/>
  <c r="AK60" i="2" s="1"/>
  <c r="M41" i="1" s="1"/>
  <c r="AJ58" i="2"/>
  <c r="AK58" i="2" s="1"/>
  <c r="M39" i="1" s="1"/>
  <c r="AJ123" i="2"/>
  <c r="AK123" i="2" s="1"/>
  <c r="M104" i="1" s="1"/>
  <c r="AJ48" i="2"/>
  <c r="AK48" i="2" s="1"/>
  <c r="AK127" i="2"/>
  <c r="M108" i="1" s="1"/>
  <c r="AJ70" i="2"/>
  <c r="AK70" i="2" s="1"/>
  <c r="M51" i="1" s="1"/>
  <c r="AJ109" i="2"/>
  <c r="AK109" i="2" s="1"/>
  <c r="M90" i="1" s="1"/>
  <c r="AJ66" i="2"/>
  <c r="AK66" i="2" s="1"/>
  <c r="M47" i="1" s="1"/>
  <c r="AK97" i="2"/>
  <c r="M78" i="1" s="1"/>
  <c r="AI42" i="2"/>
  <c r="AJ42" i="2" s="1"/>
  <c r="AK42" i="2" s="1"/>
  <c r="AI39" i="2"/>
  <c r="AJ39" i="2" s="1"/>
  <c r="AK39" i="2" s="1"/>
  <c r="AJ89" i="2"/>
  <c r="AK89" i="2" s="1"/>
  <c r="M70" i="1" s="1"/>
  <c r="AK183" i="2"/>
  <c r="M164" i="1" s="1"/>
  <c r="AK171" i="2"/>
  <c r="M152" i="1" s="1"/>
  <c r="AJ81" i="2"/>
  <c r="AK81" i="2" s="1"/>
  <c r="M62" i="1" s="1"/>
  <c r="AI38" i="2"/>
  <c r="AJ38" i="2" s="1"/>
  <c r="AK38" i="2" s="1"/>
  <c r="AK161" i="2"/>
  <c r="M142" i="1" s="1"/>
  <c r="AJ72" i="2"/>
  <c r="AK72" i="2" s="1"/>
  <c r="M53" i="1" s="1"/>
  <c r="AD65" i="2"/>
  <c r="AE65" i="2" s="1"/>
  <c r="AI65" i="2"/>
  <c r="AJ65" i="2" s="1"/>
  <c r="AK65" i="2" s="1"/>
  <c r="M46" i="1" s="1"/>
  <c r="AI64" i="2"/>
  <c r="AJ64" i="2" s="1"/>
  <c r="AK64" i="2" s="1"/>
  <c r="M45" i="1" s="1"/>
  <c r="AD66" i="2"/>
  <c r="AE66" i="2" s="1"/>
  <c r="AI62" i="2"/>
  <c r="AJ62" i="2" s="1"/>
  <c r="AK62" i="2" s="1"/>
  <c r="M43" i="1" s="1"/>
  <c r="AI63" i="2"/>
  <c r="AJ63" i="2" s="1"/>
  <c r="AK63" i="2" s="1"/>
  <c r="M44" i="1" s="1"/>
  <c r="AI59" i="2"/>
  <c r="AJ59" i="2" s="1"/>
  <c r="AK59" i="2" s="1"/>
  <c r="M40" i="1" s="1"/>
  <c r="AJ71" i="2"/>
  <c r="AK71" i="2" s="1"/>
  <c r="M52" i="1" s="1"/>
  <c r="AI61" i="2"/>
  <c r="AJ61" i="2" s="1"/>
  <c r="AK61" i="2" s="1"/>
  <c r="M42" i="1" s="1"/>
  <c r="AD37" i="2"/>
  <c r="AE37" i="2" s="1"/>
  <c r="AE92" i="2"/>
  <c r="AE74" i="2"/>
  <c r="AD55" i="2"/>
  <c r="AE55" i="2" s="1"/>
  <c r="AE72" i="2"/>
  <c r="AD57" i="2"/>
  <c r="AE57" i="2" s="1"/>
  <c r="AE76" i="2"/>
  <c r="AD53" i="2"/>
  <c r="AE53" i="2" s="1"/>
  <c r="AE68" i="2"/>
  <c r="AD61" i="2"/>
  <c r="AE61" i="2" s="1"/>
  <c r="AD58" i="2"/>
  <c r="AE58" i="2" s="1"/>
  <c r="AE71" i="2"/>
  <c r="AD63" i="2"/>
  <c r="AE63" i="2" s="1"/>
  <c r="AD64" i="2"/>
  <c r="AE64" i="2" s="1"/>
  <c r="AD47" i="2"/>
  <c r="AE47" i="2" s="1"/>
  <c r="AE82" i="2"/>
  <c r="AE75" i="2"/>
  <c r="AD54" i="2"/>
  <c r="AE54" i="2" s="1"/>
  <c r="AD36" i="2"/>
  <c r="AE36" i="2" s="1"/>
  <c r="AE93" i="2"/>
  <c r="AD56" i="2"/>
  <c r="AE56" i="2" s="1"/>
  <c r="AE73" i="2"/>
  <c r="AD62" i="2"/>
  <c r="AE62" i="2" s="1"/>
  <c r="AE67" i="2"/>
  <c r="AE70" i="2"/>
  <c r="AD59" i="2"/>
  <c r="AE59" i="2" s="1"/>
  <c r="AD44" i="2"/>
  <c r="AE44" i="2" s="1"/>
  <c r="AE86" i="2"/>
  <c r="AD43" i="2"/>
  <c r="AE43" i="2" s="1"/>
  <c r="AE77" i="2"/>
  <c r="AD52" i="2"/>
  <c r="AE52" i="2" s="1"/>
  <c r="AD51" i="2"/>
  <c r="AE51" i="2" s="1"/>
  <c r="AE78" i="2"/>
  <c r="AE69" i="2"/>
  <c r="AD60" i="2"/>
  <c r="AE60" i="2" s="1"/>
  <c r="AE89" i="2"/>
  <c r="AD40" i="2"/>
  <c r="AE40" i="2" s="1"/>
  <c r="AE80" i="2"/>
  <c r="AD49" i="2"/>
  <c r="AE49" i="2" s="1"/>
  <c r="AE79" i="2"/>
  <c r="AD50" i="2"/>
  <c r="AE50" i="2" s="1"/>
  <c r="AE90" i="2"/>
  <c r="AD39" i="2"/>
  <c r="AE39" i="2" s="1"/>
  <c r="AE91" i="2"/>
  <c r="AD38" i="2"/>
  <c r="AE38" i="2" s="1"/>
  <c r="AE81" i="2"/>
  <c r="AD48" i="2"/>
  <c r="AE48" i="2" s="1"/>
  <c r="AE84" i="2"/>
  <c r="AD45" i="2"/>
  <c r="AE45" i="2" s="1"/>
  <c r="AE87" i="2"/>
  <c r="AD42" i="2"/>
  <c r="AE42" i="2" s="1"/>
  <c r="AE83" i="2"/>
  <c r="AD46" i="2"/>
  <c r="AE46" i="2" s="1"/>
  <c r="AE88" i="2"/>
  <c r="AD41" i="2"/>
  <c r="AE41" i="2" s="1"/>
  <c r="AF64" i="2" l="1"/>
  <c r="L45" i="1" s="1"/>
  <c r="AF82" i="2"/>
  <c r="L63" i="1" s="1"/>
  <c r="AF43" i="2"/>
  <c r="AF89" i="2"/>
  <c r="L70" i="1" s="1"/>
  <c r="AF92" i="2"/>
  <c r="L73" i="1" s="1"/>
  <c r="AF42" i="2"/>
  <c r="AF74" i="2"/>
  <c r="L55" i="1" s="1"/>
  <c r="AF57" i="2"/>
  <c r="L38" i="1" s="1"/>
  <c r="AF60" i="2"/>
  <c r="L41" i="1" s="1"/>
  <c r="AF39" i="2"/>
  <c r="AF41" i="2"/>
  <c r="AF49" i="2"/>
  <c r="AF67" i="2"/>
  <c r="L48" i="1" s="1"/>
  <c r="AF90" i="2"/>
  <c r="L71" i="1" s="1"/>
  <c r="AF72" i="2"/>
  <c r="L53" i="1" s="1"/>
  <c r="AF78" i="2"/>
  <c r="L59" i="1" s="1"/>
  <c r="AF44" i="2"/>
  <c r="AF73" i="2"/>
  <c r="L54" i="1" s="1"/>
  <c r="AF68" i="2"/>
  <c r="L49" i="1" s="1"/>
  <c r="AF56" i="2"/>
  <c r="L37" i="1" s="1"/>
  <c r="AF86" i="2"/>
  <c r="L67" i="1" s="1"/>
  <c r="AF38" i="2"/>
  <c r="AF52" i="2"/>
  <c r="AF70" i="2"/>
  <c r="L51" i="1" s="1"/>
  <c r="AF37" i="2"/>
  <c r="AF81" i="2"/>
  <c r="L62" i="1" s="1"/>
  <c r="AF80" i="2"/>
  <c r="L61" i="1" s="1"/>
  <c r="AF47" i="2"/>
  <c r="AF88" i="2"/>
  <c r="L69" i="1" s="1"/>
  <c r="AF63" i="2"/>
  <c r="L44" i="1" s="1"/>
  <c r="AF53" i="2"/>
  <c r="AF50" i="2"/>
  <c r="AF87" i="2"/>
  <c r="L68" i="1" s="1"/>
  <c r="AF65" i="2"/>
  <c r="L46" i="1" s="1"/>
  <c r="AF84" i="2"/>
  <c r="L65" i="1" s="1"/>
  <c r="AF40" i="2"/>
  <c r="AF79" i="2"/>
  <c r="L60" i="1" s="1"/>
  <c r="AF62" i="2"/>
  <c r="L43" i="1" s="1"/>
  <c r="AF71" i="2"/>
  <c r="L52" i="1" s="1"/>
  <c r="AF93" i="2"/>
  <c r="L74" i="1" s="1"/>
  <c r="AF54" i="2"/>
  <c r="AF58" i="2"/>
  <c r="L39" i="1" s="1"/>
  <c r="AF55" i="2"/>
  <c r="AF46" i="2"/>
  <c r="AF77" i="2"/>
  <c r="L58" i="1" s="1"/>
  <c r="AF36" i="2"/>
  <c r="AF75" i="2"/>
  <c r="L56" i="1" s="1"/>
  <c r="AF91" i="2"/>
  <c r="L72" i="1" s="1"/>
  <c r="AF76" i="2"/>
  <c r="L57" i="1" s="1"/>
  <c r="AF66" i="2"/>
  <c r="L47" i="1" s="1"/>
  <c r="AF83" i="2"/>
  <c r="L64" i="1" s="1"/>
  <c r="AF51" i="2"/>
  <c r="AF59" i="2"/>
  <c r="L40" i="1" s="1"/>
  <c r="AF69" i="2"/>
  <c r="L50" i="1" s="1"/>
  <c r="AF45" i="2"/>
  <c r="AF48" i="2"/>
  <c r="AF61" i="2"/>
  <c r="L42" i="1" s="1"/>
</calcChain>
</file>

<file path=xl/sharedStrings.xml><?xml version="1.0" encoding="utf-8"?>
<sst xmlns="http://schemas.openxmlformats.org/spreadsheetml/2006/main" count="150" uniqueCount="96">
  <si>
    <t>alpha</t>
  </si>
  <si>
    <t>CD</t>
  </si>
  <si>
    <t>CL</t>
  </si>
  <si>
    <t>AR=</t>
  </si>
  <si>
    <t>t/c=</t>
  </si>
  <si>
    <t>&lt;==   Input aspect ratio</t>
  </si>
  <si>
    <t>&lt;==   Input thickness to chord ratio of the airfoil</t>
  </si>
  <si>
    <t>infinite or
finite corrected</t>
  </si>
  <si>
    <t>linear region
start index</t>
  </si>
  <si>
    <t>linear region
end index</t>
  </si>
  <si>
    <t>linear
region
start
index</t>
  </si>
  <si>
    <t>linear
region
end
index</t>
  </si>
  <si>
    <t>Clmax
start index</t>
  </si>
  <si>
    <t>Clmax
end index</t>
  </si>
  <si>
    <t>moving ave.
interval</t>
  </si>
  <si>
    <t>coefficients of
polynomial fit</t>
  </si>
  <si>
    <t>max data</t>
  </si>
  <si>
    <t>index of
max data</t>
  </si>
  <si>
    <t>adjust
moving
average
interval</t>
  </si>
  <si>
    <t>slope of
linear
region</t>
  </si>
  <si>
    <t>intercept
of linear
region</t>
  </si>
  <si>
    <t>CL1max =</t>
  </si>
  <si>
    <t>ACL1 =</t>
  </si>
  <si>
    <t>S1 =</t>
  </si>
  <si>
    <t>A0 =</t>
  </si>
  <si>
    <t>RCL1 =</t>
  </si>
  <si>
    <t>Infinite AR values</t>
  </si>
  <si>
    <t>Finite AR correction</t>
  </si>
  <si>
    <t>CD1max =</t>
  </si>
  <si>
    <t>ACD1 =</t>
  </si>
  <si>
    <t>N1 =</t>
  </si>
  <si>
    <t>Values used
for pre-stall</t>
  </si>
  <si>
    <t>F1 =</t>
  </si>
  <si>
    <t>F2 =</t>
  </si>
  <si>
    <t>Values used
for post-stall</t>
  </si>
  <si>
    <t>CL2max =</t>
  </si>
  <si>
    <t>RCL2 =</t>
  </si>
  <si>
    <t>CD2max =</t>
  </si>
  <si>
    <t>N2 =</t>
  </si>
  <si>
    <t>CL2 positive</t>
  </si>
  <si>
    <t>CL2 nagative</t>
  </si>
  <si>
    <t>CL1</t>
  </si>
  <si>
    <t>CL2</t>
  </si>
  <si>
    <t>linear fit
data</t>
  </si>
  <si>
    <t>if original data
is choosen</t>
  </si>
  <si>
    <t>if moving average
is choosen</t>
  </si>
  <si>
    <t>choosen
button no
for Clmax</t>
  </si>
  <si>
    <t>CD0 =</t>
  </si>
  <si>
    <t>choose
CD1max</t>
  </si>
  <si>
    <t>index of
CD1max</t>
  </si>
  <si>
    <t>G1 =</t>
  </si>
  <si>
    <t>G2 =</t>
  </si>
  <si>
    <t>CD1</t>
  </si>
  <si>
    <t>M =</t>
  </si>
  <si>
    <t>power for pre-stall drag curve ==&gt;</t>
  </si>
  <si>
    <t>CD2</t>
  </si>
  <si>
    <t>CD2 negative</t>
  </si>
  <si>
    <t>works only if moving
average is choosen</t>
  </si>
  <si>
    <t>order of
polynomial fit</t>
  </si>
  <si>
    <t>works only if
polynomial fit
is choosen</t>
  </si>
  <si>
    <t>adjust
order of
polynomial
fit</t>
  </si>
  <si>
    <t>CD2 positive
and CD1</t>
  </si>
  <si>
    <t>if polynomial fit
is choosen</t>
  </si>
  <si>
    <t>2nd degree</t>
  </si>
  <si>
    <t>3rd degree</t>
  </si>
  <si>
    <t>4th degree</t>
  </si>
  <si>
    <t>5th degree</t>
  </si>
  <si>
    <t>6th degree</t>
  </si>
  <si>
    <t>polynomial fit</t>
  </si>
  <si>
    <t>coefficients of</t>
  </si>
  <si>
    <t>choose 
power 
for 
pre-stall 
drag 
curve</t>
  </si>
  <si>
    <t xml:space="preserve">     the used max point when alter polynomial fit is choosen</t>
  </si>
  <si>
    <t xml:space="preserve">     the CD1max point</t>
  </si>
  <si>
    <t xml:space="preserve">     the points used in polynomial fit and/or moving average</t>
  </si>
  <si>
    <t xml:space="preserve">     the points used for linear fit</t>
  </si>
  <si>
    <t>power is</t>
  </si>
  <si>
    <t>AERODAS method
CL and CD values</t>
  </si>
  <si>
    <t>AERODAS</t>
  </si>
  <si>
    <t xml:space="preserve">           increase weight</t>
  </si>
  <si>
    <t xml:space="preserve">           decrease weight</t>
  </si>
  <si>
    <t xml:space="preserve">             max point
             move left</t>
  </si>
  <si>
    <t xml:space="preserve">             max point
             move right</t>
  </si>
  <si>
    <t xml:space="preserve">       alter polynomial fit</t>
  </si>
  <si>
    <t xml:space="preserve">       Finite AR corrected</t>
  </si>
  <si>
    <t xml:space="preserve">       Infinite AR</t>
  </si>
  <si>
    <t xml:space="preserve">     Use moving average</t>
  </si>
  <si>
    <t xml:space="preserve">     Use original data</t>
  </si>
  <si>
    <t xml:space="preserve">     Use polynomial fit</t>
  </si>
  <si>
    <t xml:space="preserve">       use original max point</t>
  </si>
  <si>
    <t>COPY YOUR DATA HERE</t>
  </si>
  <si>
    <t>Clmax
start
index</t>
  </si>
  <si>
    <t>Clmax
end
index</t>
  </si>
  <si>
    <t>AERODAS LIFT AND DRAG MODEL</t>
  </si>
  <si>
    <t>Pre-stall Parameters</t>
  </si>
  <si>
    <t>Post-stall Parameters</t>
  </si>
  <si>
    <t>This sheet is protected. You can only enter values to pink cells. The entered values overwrites the parameters in the AERODAS calculations. These values are enough to construct the lift and drag curves. If someone shares their values use this table to replicate their polar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</si>
</sst>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
    <numFmt numFmtId="165" formatCode="0.0000E+00"/>
    <numFmt numFmtId="166" formatCode="0.0"/>
  </numFmts>
  <fonts count="23" x14ac:knownFonts="1">
    <font>
      <sz val="10"/>
      <name val="Arial"/>
    </font>
    <font>
      <sz val="10"/>
      <name val="Arial"/>
      <family val="2"/>
    </font>
    <font>
      <sz val="8"/>
      <name val="Arial"/>
      <family val="2"/>
    </font>
    <font>
      <b/>
      <sz val="10"/>
      <name val="Arial"/>
      <family val="2"/>
    </font>
    <font>
      <sz val="10"/>
      <color indexed="13"/>
      <name val="Arial"/>
      <family val="2"/>
    </font>
    <font>
      <sz val="10"/>
      <name val="Arial"/>
      <family val="2"/>
    </font>
    <font>
      <sz val="10"/>
      <color indexed="10"/>
      <name val="Arial"/>
      <family val="2"/>
    </font>
    <font>
      <b/>
      <sz val="12"/>
      <color indexed="10"/>
      <name val="Arial"/>
      <family val="2"/>
    </font>
    <font>
      <sz val="10"/>
      <color indexed="9"/>
      <name val="Arial"/>
      <family val="2"/>
    </font>
    <font>
      <sz val="8"/>
      <name val="Arial"/>
      <family val="2"/>
    </font>
    <font>
      <sz val="8"/>
      <name val="Arial"/>
      <family val="2"/>
      <charset val="162"/>
    </font>
    <font>
      <sz val="8"/>
      <color indexed="9"/>
      <name val="Arial"/>
      <family val="2"/>
      <charset val="162"/>
    </font>
    <font>
      <sz val="6"/>
      <name val="Arial"/>
      <family val="2"/>
      <charset val="162"/>
    </font>
    <font>
      <sz val="7"/>
      <name val="Arial"/>
      <family val="2"/>
      <charset val="162"/>
    </font>
    <font>
      <sz val="7.5"/>
      <name val="Arial"/>
      <family val="2"/>
      <charset val="162"/>
    </font>
    <font>
      <sz val="6.5"/>
      <name val="Arial"/>
      <family val="2"/>
      <charset val="162"/>
    </font>
    <font>
      <b/>
      <sz val="9"/>
      <name val="Arial"/>
      <family val="2"/>
    </font>
    <font>
      <b/>
      <sz val="10"/>
      <color indexed="10"/>
      <name val="Arial"/>
      <family val="2"/>
    </font>
    <font>
      <sz val="10"/>
      <name val="Arial"/>
      <family val="2"/>
      <charset val="162"/>
    </font>
    <font>
      <sz val="10"/>
      <name val="Arial Rounded MT Bold"/>
      <family val="2"/>
    </font>
    <font>
      <sz val="10"/>
      <color theme="0"/>
      <name val="Arial"/>
      <family val="2"/>
      <charset val="162"/>
    </font>
    <font>
      <sz val="8"/>
      <color rgb="FF000000"/>
      <name val="Segoe UI"/>
      <family val="2"/>
    </font>
    <font>
      <b/>
      <sz val="10"/>
      <color rgb="FFFF0000"/>
      <name val="Arial"/>
      <family val="2"/>
    </font>
  </fonts>
  <fills count="17">
    <fill>
      <patternFill patternType="none"/>
    </fill>
    <fill>
      <patternFill patternType="gray125"/>
    </fill>
    <fill>
      <patternFill patternType="solid">
        <fgColor indexed="43"/>
        <bgColor indexed="64"/>
      </patternFill>
    </fill>
    <fill>
      <patternFill patternType="solid">
        <fgColor indexed="9"/>
        <bgColor indexed="64"/>
      </patternFill>
    </fill>
    <fill>
      <patternFill patternType="solid">
        <fgColor indexed="47"/>
        <bgColor indexed="64"/>
      </patternFill>
    </fill>
    <fill>
      <patternFill patternType="solid">
        <fgColor indexed="41"/>
        <bgColor indexed="64"/>
      </patternFill>
    </fill>
    <fill>
      <patternFill patternType="solid">
        <fgColor indexed="10"/>
        <bgColor indexed="64"/>
      </patternFill>
    </fill>
    <fill>
      <patternFill patternType="solid">
        <fgColor indexed="22"/>
        <bgColor indexed="64"/>
      </patternFill>
    </fill>
    <fill>
      <patternFill patternType="solid">
        <fgColor indexed="45"/>
        <bgColor indexed="64"/>
      </patternFill>
    </fill>
    <fill>
      <patternFill patternType="solid">
        <fgColor indexed="44"/>
        <bgColor indexed="64"/>
      </patternFill>
    </fill>
    <fill>
      <patternFill patternType="solid">
        <fgColor indexed="42"/>
        <bgColor indexed="64"/>
      </patternFill>
    </fill>
    <fill>
      <patternFill patternType="solid">
        <fgColor indexed="46"/>
        <bgColor indexed="64"/>
      </patternFill>
    </fill>
    <fill>
      <patternFill patternType="solid">
        <fgColor indexed="52"/>
        <bgColor indexed="64"/>
      </patternFill>
    </fill>
    <fill>
      <patternFill patternType="solid">
        <fgColor indexed="51"/>
        <bgColor indexed="64"/>
      </patternFill>
    </fill>
    <fill>
      <patternFill patternType="solid">
        <fgColor indexed="13"/>
        <bgColor indexed="64"/>
      </patternFill>
    </fill>
    <fill>
      <patternFill patternType="solid">
        <fgColor theme="0" tint="-4.9989318521683403E-2"/>
        <bgColor indexed="64"/>
      </patternFill>
    </fill>
    <fill>
      <patternFill patternType="solid">
        <fgColor rgb="FFFFCCFF"/>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90">
    <xf numFmtId="0" fontId="0" fillId="0" borderId="0" xfId="0"/>
    <xf numFmtId="0" fontId="0" fillId="0" borderId="0" xfId="0" applyAlignment="1">
      <alignment horizontal="center"/>
    </xf>
    <xf numFmtId="0" fontId="0" fillId="0" borderId="1" xfId="0" applyBorder="1" applyAlignment="1">
      <alignment horizontal="center"/>
    </xf>
    <xf numFmtId="0" fontId="0" fillId="0" borderId="0" xfId="0" applyFill="1" applyAlignment="1">
      <alignment horizontal="center"/>
    </xf>
    <xf numFmtId="0" fontId="4" fillId="0" borderId="0" xfId="0" applyFont="1" applyFill="1" applyBorder="1" applyAlignment="1">
      <alignment horizontal="left"/>
    </xf>
    <xf numFmtId="0" fontId="0" fillId="0" borderId="0" xfId="0" applyFill="1"/>
    <xf numFmtId="0" fontId="3" fillId="2" borderId="1" xfId="0" applyFont="1" applyFill="1" applyBorder="1" applyAlignment="1">
      <alignment horizontal="center"/>
    </xf>
    <xf numFmtId="0" fontId="0" fillId="0" borderId="0" xfId="0" applyFill="1" applyBorder="1" applyAlignment="1">
      <alignment horizontal="center"/>
    </xf>
    <xf numFmtId="0" fontId="0" fillId="3" borderId="2" xfId="0" applyFill="1" applyBorder="1" applyAlignment="1"/>
    <xf numFmtId="0" fontId="0" fillId="3" borderId="3" xfId="0" applyFill="1" applyBorder="1" applyAlignment="1"/>
    <xf numFmtId="0" fontId="0" fillId="3" borderId="4" xfId="0" applyFill="1" applyBorder="1" applyAlignment="1"/>
    <xf numFmtId="164" fontId="0" fillId="0" borderId="0" xfId="0" applyNumberFormat="1" applyAlignment="1">
      <alignment horizontal="center"/>
    </xf>
    <xf numFmtId="164" fontId="0" fillId="0" borderId="1" xfId="0" applyNumberFormat="1" applyBorder="1" applyAlignment="1">
      <alignment horizontal="center"/>
    </xf>
    <xf numFmtId="165" fontId="0" fillId="0" borderId="1" xfId="0" applyNumberFormat="1" applyBorder="1" applyAlignment="1">
      <alignment horizontal="center"/>
    </xf>
    <xf numFmtId="1" fontId="0" fillId="0" borderId="1" xfId="0" applyNumberFormat="1" applyBorder="1" applyAlignment="1">
      <alignment horizontal="center"/>
    </xf>
    <xf numFmtId="0" fontId="0" fillId="4" borderId="1" xfId="0" applyFill="1" applyBorder="1" applyAlignment="1">
      <alignment horizontal="center"/>
    </xf>
    <xf numFmtId="0" fontId="0" fillId="0" borderId="1" xfId="0" applyFill="1" applyBorder="1" applyAlignment="1">
      <alignment horizontal="center"/>
    </xf>
    <xf numFmtId="0" fontId="0" fillId="0" borderId="0" xfId="0" applyFill="1" applyBorder="1"/>
    <xf numFmtId="0" fontId="0" fillId="0" borderId="0" xfId="0" applyFill="1" applyBorder="1" applyAlignment="1">
      <alignment wrapText="1"/>
    </xf>
    <xf numFmtId="0" fontId="0" fillId="0" borderId="0" xfId="0" applyFill="1" applyBorder="1" applyAlignment="1"/>
    <xf numFmtId="1" fontId="0" fillId="0" borderId="6" xfId="0" applyNumberFormat="1" applyBorder="1" applyAlignment="1">
      <alignment horizontal="center"/>
    </xf>
    <xf numFmtId="166" fontId="0" fillId="0" borderId="0" xfId="0" applyNumberFormat="1" applyAlignment="1">
      <alignment horizontal="center"/>
    </xf>
    <xf numFmtId="0" fontId="0" fillId="0" borderId="7" xfId="0" applyBorder="1"/>
    <xf numFmtId="0" fontId="6" fillId="0" borderId="8" xfId="0" applyFont="1" applyFill="1" applyBorder="1" applyAlignment="1">
      <alignment horizontal="right"/>
    </xf>
    <xf numFmtId="164" fontId="6" fillId="0" borderId="0" xfId="0" applyNumberFormat="1" applyFont="1" applyFill="1"/>
    <xf numFmtId="2" fontId="6" fillId="0" borderId="0" xfId="0" applyNumberFormat="1" applyFont="1" applyFill="1"/>
    <xf numFmtId="2" fontId="6" fillId="0" borderId="0" xfId="0" applyNumberFormat="1" applyFont="1" applyFill="1" applyAlignment="1">
      <alignment horizontal="left"/>
    </xf>
    <xf numFmtId="164" fontId="6" fillId="0" borderId="0" xfId="0" applyNumberFormat="1" applyFont="1" applyFill="1" applyBorder="1" applyAlignment="1">
      <alignment horizontal="left"/>
    </xf>
    <xf numFmtId="0" fontId="0" fillId="0" borderId="0" xfId="0" applyBorder="1"/>
    <xf numFmtId="0" fontId="0" fillId="0" borderId="9" xfId="0" applyBorder="1"/>
    <xf numFmtId="0" fontId="0" fillId="0" borderId="8" xfId="0" applyFill="1" applyBorder="1"/>
    <xf numFmtId="0" fontId="0" fillId="0" borderId="7" xfId="0" applyFill="1" applyBorder="1" applyAlignment="1"/>
    <xf numFmtId="0" fontId="0" fillId="0" borderId="8" xfId="0" applyBorder="1" applyAlignment="1">
      <alignment horizontal="center"/>
    </xf>
    <xf numFmtId="0" fontId="0" fillId="0" borderId="7" xfId="0" applyFill="1" applyBorder="1" applyAlignment="1">
      <alignment wrapText="1"/>
    </xf>
    <xf numFmtId="0" fontId="0" fillId="0" borderId="9" xfId="0" applyBorder="1" applyAlignment="1">
      <alignment horizontal="center"/>
    </xf>
    <xf numFmtId="0" fontId="0" fillId="0" borderId="10" xfId="0" applyBorder="1" applyAlignment="1">
      <alignment wrapText="1"/>
    </xf>
    <xf numFmtId="0" fontId="0" fillId="0" borderId="0" xfId="0" applyAlignment="1">
      <alignment wrapText="1"/>
    </xf>
    <xf numFmtId="0" fontId="0" fillId="0" borderId="8" xfId="0" applyBorder="1" applyAlignment="1"/>
    <xf numFmtId="0" fontId="0" fillId="0" borderId="0" xfId="0" applyAlignment="1"/>
    <xf numFmtId="0" fontId="0" fillId="0" borderId="0" xfId="0" applyBorder="1" applyAlignment="1"/>
    <xf numFmtId="0" fontId="0" fillId="0" borderId="0" xfId="0" applyBorder="1" applyAlignment="1">
      <alignment wrapText="1"/>
    </xf>
    <xf numFmtId="0" fontId="0" fillId="0" borderId="2" xfId="0" applyBorder="1"/>
    <xf numFmtId="0" fontId="0" fillId="0" borderId="3" xfId="0" applyBorder="1"/>
    <xf numFmtId="164" fontId="0" fillId="0" borderId="0" xfId="0" applyNumberFormat="1" applyBorder="1" applyAlignment="1">
      <alignment horizontal="center"/>
    </xf>
    <xf numFmtId="166" fontId="0" fillId="0" borderId="0" xfId="0" applyNumberFormat="1" applyFill="1" applyAlignment="1">
      <alignment horizontal="center"/>
    </xf>
    <xf numFmtId="164" fontId="0" fillId="0" borderId="0" xfId="0" applyNumberFormat="1" applyFill="1" applyAlignment="1">
      <alignment horizontal="center"/>
    </xf>
    <xf numFmtId="0" fontId="0" fillId="0" borderId="7" xfId="0" applyFill="1" applyBorder="1"/>
    <xf numFmtId="0" fontId="0" fillId="0" borderId="8" xfId="0" applyFill="1" applyBorder="1" applyAlignment="1">
      <alignment horizontal="center"/>
    </xf>
    <xf numFmtId="165" fontId="0" fillId="0" borderId="0" xfId="0" applyNumberFormat="1" applyFill="1" applyBorder="1" applyAlignment="1">
      <alignment horizontal="center"/>
    </xf>
    <xf numFmtId="0" fontId="0" fillId="5" borderId="5" xfId="0" applyFill="1" applyBorder="1" applyAlignment="1">
      <alignment horizontal="right"/>
    </xf>
    <xf numFmtId="164" fontId="0" fillId="5" borderId="11" xfId="0" applyNumberFormat="1" applyFill="1" applyBorder="1" applyAlignment="1">
      <alignment horizontal="left"/>
    </xf>
    <xf numFmtId="0" fontId="0" fillId="5" borderId="12" xfId="0" applyFill="1" applyBorder="1" applyAlignment="1">
      <alignment horizontal="right"/>
    </xf>
    <xf numFmtId="164" fontId="0" fillId="5" borderId="3" xfId="0" applyNumberFormat="1" applyFill="1" applyBorder="1" applyAlignment="1">
      <alignment horizontal="left" wrapText="1"/>
    </xf>
    <xf numFmtId="0" fontId="0" fillId="5" borderId="10" xfId="0" applyFill="1" applyBorder="1" applyAlignment="1">
      <alignment horizontal="right"/>
    </xf>
    <xf numFmtId="164" fontId="0" fillId="5" borderId="2" xfId="0" applyNumberFormat="1" applyFill="1" applyBorder="1" applyAlignment="1">
      <alignment horizontal="left"/>
    </xf>
    <xf numFmtId="0" fontId="8" fillId="0" borderId="0" xfId="0" applyFont="1" applyAlignment="1">
      <alignment horizontal="center"/>
    </xf>
    <xf numFmtId="165" fontId="0" fillId="0" borderId="6" xfId="0" applyNumberFormat="1" applyFill="1" applyBorder="1" applyAlignment="1">
      <alignment horizontal="center"/>
    </xf>
    <xf numFmtId="165" fontId="0" fillId="0" borderId="13" xfId="0" applyNumberFormat="1" applyFill="1" applyBorder="1" applyAlignment="1">
      <alignment horizontal="center"/>
    </xf>
    <xf numFmtId="165" fontId="0" fillId="0" borderId="14" xfId="0" applyNumberFormat="1" applyFill="1" applyBorder="1" applyAlignment="1">
      <alignment horizontal="center"/>
    </xf>
    <xf numFmtId="0" fontId="0" fillId="4" borderId="13" xfId="0" applyFill="1" applyBorder="1" applyAlignment="1">
      <alignment horizontal="center" wrapText="1"/>
    </xf>
    <xf numFmtId="0" fontId="0" fillId="4" borderId="6" xfId="0" applyFill="1" applyBorder="1" applyAlignment="1">
      <alignment horizontal="center"/>
    </xf>
    <xf numFmtId="0" fontId="0" fillId="4" borderId="14" xfId="0" applyFill="1" applyBorder="1" applyAlignment="1">
      <alignment horizontal="center"/>
    </xf>
    <xf numFmtId="164" fontId="0" fillId="0" borderId="0" xfId="0" applyNumberFormat="1" applyFill="1"/>
    <xf numFmtId="0" fontId="0" fillId="0" borderId="0" xfId="0" applyAlignment="1">
      <alignment horizontal="right"/>
    </xf>
    <xf numFmtId="0" fontId="1" fillId="0" borderId="0" xfId="0" applyFont="1" applyFill="1" applyBorder="1" applyAlignment="1">
      <alignment horizontal="center"/>
    </xf>
    <xf numFmtId="0" fontId="1" fillId="0" borderId="0" xfId="0" applyFont="1" applyFill="1" applyBorder="1" applyAlignment="1">
      <alignment horizontal="right"/>
    </xf>
    <xf numFmtId="0" fontId="1" fillId="0" borderId="0" xfId="0" applyFont="1" applyFill="1" applyBorder="1" applyAlignment="1">
      <alignment horizontal="left"/>
    </xf>
    <xf numFmtId="0" fontId="1" fillId="0" borderId="0" xfId="0" applyFont="1" applyFill="1" applyBorder="1" applyAlignment="1"/>
    <xf numFmtId="0" fontId="1" fillId="0" borderId="0" xfId="0" applyFont="1" applyFill="1" applyBorder="1" applyAlignment="1">
      <alignment wrapText="1"/>
    </xf>
    <xf numFmtId="0" fontId="1" fillId="0" borderId="0" xfId="0" applyFont="1" applyFill="1" applyBorder="1" applyAlignment="1">
      <alignment vertical="center" wrapText="1"/>
    </xf>
    <xf numFmtId="0" fontId="1" fillId="0" borderId="0" xfId="0" applyFont="1" applyFill="1" applyBorder="1" applyAlignment="1">
      <alignment vertical="center"/>
    </xf>
    <xf numFmtId="0" fontId="4" fillId="0" borderId="0" xfId="0" applyFont="1" applyFill="1" applyBorder="1" applyAlignment="1"/>
    <xf numFmtId="0" fontId="0" fillId="0" borderId="0" xfId="0" applyFill="1" applyBorder="1" applyAlignment="1">
      <alignment vertical="center" wrapText="1"/>
    </xf>
    <xf numFmtId="0" fontId="0" fillId="0" borderId="0" xfId="0" applyFill="1" applyBorder="1" applyAlignment="1">
      <alignment vertical="center"/>
    </xf>
    <xf numFmtId="0" fontId="3" fillId="0" borderId="0" xfId="0" applyFont="1" applyFill="1" applyBorder="1" applyAlignment="1">
      <alignment vertical="center"/>
    </xf>
    <xf numFmtId="164" fontId="0" fillId="0" borderId="0" xfId="0" applyNumberFormat="1" applyFill="1" applyBorder="1" applyAlignment="1">
      <alignment horizontal="center"/>
    </xf>
    <xf numFmtId="0" fontId="0" fillId="0" borderId="0" xfId="0" applyFill="1" applyBorder="1" applyAlignment="1">
      <alignment horizontal="right"/>
    </xf>
    <xf numFmtId="164" fontId="0" fillId="0" borderId="0" xfId="0" applyNumberFormat="1" applyFill="1" applyBorder="1" applyAlignment="1">
      <alignment horizontal="left"/>
    </xf>
    <xf numFmtId="164" fontId="0" fillId="0" borderId="0" xfId="0" applyNumberFormat="1" applyFill="1" applyBorder="1" applyAlignment="1">
      <alignment horizontal="left" wrapText="1"/>
    </xf>
    <xf numFmtId="1" fontId="0" fillId="0" borderId="0" xfId="0" applyNumberFormat="1" applyFill="1" applyBorder="1" applyAlignment="1">
      <alignment horizontal="center"/>
    </xf>
    <xf numFmtId="0" fontId="6" fillId="0" borderId="0" xfId="0" applyFont="1" applyFill="1" applyBorder="1" applyAlignment="1">
      <alignment horizontal="right"/>
    </xf>
    <xf numFmtId="2" fontId="0" fillId="0" borderId="0" xfId="0" applyNumberFormat="1" applyFill="1" applyBorder="1" applyAlignment="1">
      <alignment horizontal="left"/>
    </xf>
    <xf numFmtId="2" fontId="6" fillId="0" borderId="0" xfId="0" applyNumberFormat="1" applyFont="1" applyFill="1" applyBorder="1" applyAlignment="1">
      <alignment horizontal="left"/>
    </xf>
    <xf numFmtId="0" fontId="0" fillId="0" borderId="0" xfId="0" applyFill="1" applyBorder="1" applyAlignment="1">
      <alignment horizontal="left"/>
    </xf>
    <xf numFmtId="164" fontId="6" fillId="0" borderId="0" xfId="0" applyNumberFormat="1" applyFont="1" applyFill="1" applyBorder="1"/>
    <xf numFmtId="2" fontId="6" fillId="0" borderId="0" xfId="0" applyNumberFormat="1" applyFont="1" applyFill="1" applyBorder="1"/>
    <xf numFmtId="164" fontId="0" fillId="0" borderId="0" xfId="0" applyNumberFormat="1" applyFill="1" applyBorder="1"/>
    <xf numFmtId="0" fontId="0" fillId="0" borderId="0" xfId="0" applyFill="1" applyBorder="1" applyAlignment="1">
      <alignment horizontal="center" wrapText="1"/>
    </xf>
    <xf numFmtId="166" fontId="0" fillId="0" borderId="0" xfId="0" applyNumberFormat="1" applyFill="1" applyBorder="1" applyAlignment="1">
      <alignment horizontal="center"/>
    </xf>
    <xf numFmtId="0" fontId="7" fillId="0" borderId="0" xfId="0" applyFont="1" applyFill="1" applyBorder="1" applyAlignment="1">
      <alignment vertical="center" wrapText="1"/>
    </xf>
    <xf numFmtId="0" fontId="7" fillId="0" borderId="0" xfId="0" applyFont="1" applyFill="1" applyBorder="1" applyAlignment="1">
      <alignment vertical="center"/>
    </xf>
    <xf numFmtId="0" fontId="3" fillId="0" borderId="0" xfId="0" applyFont="1" applyFill="1" applyBorder="1" applyAlignment="1">
      <alignment vertical="center" wrapText="1"/>
    </xf>
    <xf numFmtId="1" fontId="0" fillId="0" borderId="0" xfId="0" applyNumberFormat="1" applyFill="1" applyBorder="1" applyAlignment="1">
      <alignment wrapText="1"/>
    </xf>
    <xf numFmtId="1" fontId="0" fillId="0" borderId="0" xfId="0" applyNumberFormat="1" applyFill="1" applyBorder="1" applyAlignment="1"/>
    <xf numFmtId="0" fontId="8" fillId="0" borderId="0" xfId="0" applyFont="1" applyFill="1" applyBorder="1" applyAlignment="1">
      <alignment horizontal="center"/>
    </xf>
    <xf numFmtId="0" fontId="0" fillId="3" borderId="0" xfId="0" applyFill="1" applyBorder="1" applyAlignment="1">
      <alignment horizontal="center"/>
    </xf>
    <xf numFmtId="0" fontId="4" fillId="3" borderId="0" xfId="0" applyFont="1" applyFill="1" applyBorder="1" applyAlignment="1">
      <alignment horizontal="left"/>
    </xf>
    <xf numFmtId="0" fontId="0" fillId="3" borderId="0" xfId="0" applyFill="1" applyBorder="1" applyAlignment="1">
      <alignment horizontal="center" vertical="center" wrapText="1"/>
    </xf>
    <xf numFmtId="0" fontId="0" fillId="3" borderId="0" xfId="0" applyFill="1" applyBorder="1" applyAlignment="1">
      <alignment horizontal="center" vertical="center"/>
    </xf>
    <xf numFmtId="1" fontId="3" fillId="3" borderId="0" xfId="0" applyNumberFormat="1" applyFont="1" applyFill="1" applyBorder="1" applyAlignment="1">
      <alignment horizontal="left" vertical="center"/>
    </xf>
    <xf numFmtId="0" fontId="1" fillId="0" borderId="0" xfId="0" applyFont="1" applyFill="1"/>
    <xf numFmtId="0" fontId="2" fillId="0" borderId="0" xfId="0" applyFont="1" applyFill="1" applyAlignment="1">
      <alignment horizontal="center" textRotation="90"/>
    </xf>
    <xf numFmtId="0" fontId="0" fillId="0" borderId="0" xfId="0" applyFill="1" applyBorder="1" applyAlignment="1">
      <alignment vertical="center" textRotation="90"/>
    </xf>
    <xf numFmtId="0" fontId="8" fillId="0" borderId="0" xfId="0" applyFont="1"/>
    <xf numFmtId="0" fontId="0" fillId="2" borderId="6" xfId="0" applyFill="1" applyBorder="1" applyAlignment="1">
      <alignment vertical="center"/>
    </xf>
    <xf numFmtId="0" fontId="3" fillId="0" borderId="0" xfId="0" applyFont="1" applyFill="1" applyBorder="1" applyAlignment="1">
      <alignment horizontal="center"/>
    </xf>
    <xf numFmtId="0" fontId="0" fillId="0" borderId="0" xfId="0" applyBorder="1" applyAlignment="1">
      <alignment horizontal="center" vertical="center"/>
    </xf>
    <xf numFmtId="0" fontId="0" fillId="0" borderId="0" xfId="0" applyBorder="1" applyAlignment="1">
      <alignment horizontal="right"/>
    </xf>
    <xf numFmtId="0" fontId="0" fillId="3" borderId="0" xfId="0" applyFill="1" applyBorder="1" applyAlignment="1">
      <alignment horizontal="right"/>
    </xf>
    <xf numFmtId="0" fontId="0" fillId="3" borderId="0" xfId="0" applyFill="1" applyBorder="1"/>
    <xf numFmtId="0" fontId="0" fillId="3" borderId="0" xfId="0" applyFill="1" applyBorder="1" applyAlignment="1">
      <alignment wrapText="1"/>
    </xf>
    <xf numFmtId="0" fontId="8" fillId="3" borderId="0" xfId="0" applyFont="1" applyFill="1" applyBorder="1" applyAlignment="1">
      <alignment horizontal="center"/>
    </xf>
    <xf numFmtId="0" fontId="10" fillId="0" borderId="0" xfId="0" applyFont="1" applyFill="1"/>
    <xf numFmtId="0" fontId="10" fillId="0" borderId="0" xfId="0" applyFont="1" applyFill="1" applyAlignment="1">
      <alignment horizontal="center"/>
    </xf>
    <xf numFmtId="0" fontId="10" fillId="0" borderId="0" xfId="0" applyFont="1" applyAlignment="1">
      <alignment horizontal="center"/>
    </xf>
    <xf numFmtId="0" fontId="10" fillId="0" borderId="0" xfId="0" applyFont="1"/>
    <xf numFmtId="166" fontId="10" fillId="0" borderId="0" xfId="0" applyNumberFormat="1" applyFont="1" applyAlignment="1">
      <alignment horizontal="center"/>
    </xf>
    <xf numFmtId="164" fontId="10" fillId="0" borderId="0" xfId="0" applyNumberFormat="1" applyFont="1" applyAlignment="1">
      <alignment horizontal="center"/>
    </xf>
    <xf numFmtId="164" fontId="10" fillId="0" borderId="0" xfId="0" applyNumberFormat="1" applyFont="1" applyFill="1" applyAlignment="1">
      <alignment horizontal="center"/>
    </xf>
    <xf numFmtId="164" fontId="10" fillId="0" borderId="0" xfId="0" applyNumberFormat="1" applyFont="1" applyFill="1" applyBorder="1" applyAlignment="1">
      <alignment horizontal="center"/>
    </xf>
    <xf numFmtId="0" fontId="10" fillId="0" borderId="0" xfId="0" applyFont="1" applyFill="1" applyBorder="1"/>
    <xf numFmtId="0" fontId="10" fillId="0" borderId="0" xfId="0" applyFont="1" applyFill="1" applyBorder="1" applyAlignment="1">
      <alignment horizontal="center"/>
    </xf>
    <xf numFmtId="166" fontId="10" fillId="0" borderId="0" xfId="0" applyNumberFormat="1" applyFont="1" applyFill="1" applyBorder="1" applyAlignment="1">
      <alignment horizontal="center"/>
    </xf>
    <xf numFmtId="0" fontId="11" fillId="0" borderId="0" xfId="0" applyFont="1" applyFill="1" applyAlignment="1">
      <alignment horizontal="center"/>
    </xf>
    <xf numFmtId="0" fontId="0" fillId="3" borderId="8" xfId="0" applyFill="1" applyBorder="1" applyAlignment="1">
      <alignment horizontal="center"/>
    </xf>
    <xf numFmtId="1" fontId="9" fillId="2" borderId="13" xfId="0" applyNumberFormat="1" applyFont="1" applyFill="1" applyBorder="1" applyAlignment="1">
      <alignment horizontal="center" vertical="center"/>
    </xf>
    <xf numFmtId="0" fontId="0" fillId="3" borderId="10" xfId="0" applyFill="1" applyBorder="1" applyAlignment="1">
      <alignment horizontal="center"/>
    </xf>
    <xf numFmtId="0" fontId="0" fillId="3" borderId="7" xfId="0" applyFill="1" applyBorder="1" applyAlignment="1">
      <alignment horizontal="center"/>
    </xf>
    <xf numFmtId="0" fontId="0" fillId="3" borderId="7" xfId="0" applyFill="1" applyBorder="1"/>
    <xf numFmtId="0" fontId="0" fillId="3" borderId="10" xfId="0" applyFill="1" applyBorder="1" applyAlignment="1">
      <alignment horizontal="right" vertical="center"/>
    </xf>
    <xf numFmtId="0" fontId="0" fillId="3" borderId="5" xfId="0" applyFill="1" applyBorder="1" applyAlignment="1">
      <alignment horizontal="right" vertical="center"/>
    </xf>
    <xf numFmtId="0" fontId="3" fillId="0" borderId="0" xfId="0" applyFont="1" applyFill="1" applyBorder="1" applyAlignment="1">
      <alignment horizontal="center" vertical="center"/>
    </xf>
    <xf numFmtId="0" fontId="16" fillId="2" borderId="1" xfId="0" applyFont="1" applyFill="1" applyBorder="1" applyAlignment="1">
      <alignment horizontal="center" vertical="center"/>
    </xf>
    <xf numFmtId="0" fontId="16" fillId="6" borderId="1" xfId="0" applyFont="1" applyFill="1" applyBorder="1" applyAlignment="1">
      <alignment horizontal="center" vertical="center"/>
    </xf>
    <xf numFmtId="0" fontId="17" fillId="3" borderId="10" xfId="0" applyFont="1" applyFill="1" applyBorder="1" applyAlignment="1">
      <alignment horizontal="right"/>
    </xf>
    <xf numFmtId="164" fontId="17" fillId="3" borderId="2" xfId="0" applyNumberFormat="1" applyFont="1" applyFill="1" applyBorder="1" applyAlignment="1">
      <alignment horizontal="left"/>
    </xf>
    <xf numFmtId="0" fontId="17" fillId="3" borderId="8" xfId="0" applyFont="1" applyFill="1" applyBorder="1" applyAlignment="1">
      <alignment horizontal="right"/>
    </xf>
    <xf numFmtId="2" fontId="17" fillId="3" borderId="3" xfId="0" applyNumberFormat="1" applyFont="1" applyFill="1" applyBorder="1" applyAlignment="1">
      <alignment horizontal="left"/>
    </xf>
    <xf numFmtId="164" fontId="17" fillId="3" borderId="3" xfId="0" applyNumberFormat="1" applyFont="1" applyFill="1" applyBorder="1" applyAlignment="1">
      <alignment horizontal="left"/>
    </xf>
    <xf numFmtId="164" fontId="17" fillId="3" borderId="0" xfId="0" applyNumberFormat="1" applyFont="1" applyFill="1" applyAlignment="1">
      <alignment horizontal="left"/>
    </xf>
    <xf numFmtId="2" fontId="17" fillId="3" borderId="0" xfId="0" applyNumberFormat="1" applyFont="1" applyFill="1" applyAlignment="1">
      <alignment horizontal="left"/>
    </xf>
    <xf numFmtId="164" fontId="17" fillId="3" borderId="4" xfId="0" applyNumberFormat="1" applyFont="1" applyFill="1" applyBorder="1" applyAlignment="1">
      <alignment horizontal="left"/>
    </xf>
    <xf numFmtId="0" fontId="17" fillId="3" borderId="12" xfId="0" applyFont="1" applyFill="1" applyBorder="1" applyAlignment="1">
      <alignment horizontal="right"/>
    </xf>
    <xf numFmtId="2" fontId="17" fillId="3" borderId="4" xfId="0" applyNumberFormat="1" applyFont="1" applyFill="1" applyBorder="1" applyAlignment="1">
      <alignment horizontal="left"/>
    </xf>
    <xf numFmtId="0" fontId="3" fillId="7" borderId="5" xfId="0" applyFont="1" applyFill="1" applyBorder="1" applyAlignment="1">
      <alignment horizontal="right"/>
    </xf>
    <xf numFmtId="164" fontId="3" fillId="7" borderId="15" xfId="0" applyNumberFormat="1" applyFont="1" applyFill="1" applyBorder="1" applyAlignment="1">
      <alignment horizontal="left"/>
    </xf>
    <xf numFmtId="0" fontId="3" fillId="7" borderId="12" xfId="0" applyFont="1" applyFill="1" applyBorder="1" applyAlignment="1">
      <alignment horizontal="right"/>
    </xf>
    <xf numFmtId="2" fontId="3" fillId="7" borderId="0" xfId="0" applyNumberFormat="1" applyFont="1" applyFill="1" applyAlignment="1">
      <alignment horizontal="left"/>
    </xf>
    <xf numFmtId="164" fontId="3" fillId="7" borderId="11" xfId="0" applyNumberFormat="1" applyFont="1" applyFill="1" applyBorder="1" applyAlignment="1">
      <alignment horizontal="left"/>
    </xf>
    <xf numFmtId="2" fontId="3" fillId="7" borderId="11" xfId="0" applyNumberFormat="1" applyFont="1" applyFill="1" applyBorder="1" applyAlignment="1">
      <alignment horizontal="left"/>
    </xf>
    <xf numFmtId="0" fontId="20" fillId="15" borderId="10" xfId="0" applyFont="1" applyFill="1" applyBorder="1" applyProtection="1">
      <protection locked="0"/>
    </xf>
    <xf numFmtId="0" fontId="20" fillId="15" borderId="7" xfId="0" applyFont="1" applyFill="1" applyBorder="1" applyProtection="1"/>
    <xf numFmtId="0" fontId="20" fillId="15" borderId="2" xfId="0" applyFont="1" applyFill="1" applyBorder="1" applyProtection="1"/>
    <xf numFmtId="0" fontId="0" fillId="0" borderId="0" xfId="0" applyProtection="1"/>
    <xf numFmtId="0" fontId="20" fillId="15" borderId="8" xfId="0" applyFont="1" applyFill="1" applyBorder="1" applyProtection="1"/>
    <xf numFmtId="0" fontId="20" fillId="15" borderId="0" xfId="0" applyFont="1" applyFill="1" applyBorder="1" applyProtection="1"/>
    <xf numFmtId="0" fontId="20" fillId="15" borderId="3" xfId="0" applyFont="1" applyFill="1" applyBorder="1" applyProtection="1"/>
    <xf numFmtId="0" fontId="0" fillId="0" borderId="12" xfId="0" applyBorder="1" applyProtection="1"/>
    <xf numFmtId="0" fontId="0" fillId="0" borderId="9" xfId="0" applyBorder="1" applyProtection="1"/>
    <xf numFmtId="0" fontId="0" fillId="0" borderId="4" xfId="0" applyBorder="1" applyProtection="1"/>
    <xf numFmtId="0" fontId="0" fillId="0" borderId="1" xfId="0" applyBorder="1" applyAlignment="1" applyProtection="1">
      <alignment horizontal="right" vertical="center"/>
    </xf>
    <xf numFmtId="0" fontId="19" fillId="0" borderId="0" xfId="0" applyFont="1" applyProtection="1"/>
    <xf numFmtId="0" fontId="0" fillId="16" borderId="1" xfId="0" applyFill="1" applyBorder="1" applyAlignment="1" applyProtection="1">
      <alignment horizontal="left" vertical="center"/>
      <protection locked="0"/>
    </xf>
    <xf numFmtId="0" fontId="0" fillId="0" borderId="5"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Fill="1" applyBorder="1" applyAlignment="1" applyProtection="1">
      <alignment horizontal="center"/>
      <protection locked="0"/>
    </xf>
    <xf numFmtId="0" fontId="8" fillId="0" borderId="0" xfId="0" applyFont="1" applyProtection="1">
      <protection locked="0"/>
    </xf>
    <xf numFmtId="0" fontId="0" fillId="0" borderId="0" xfId="0" applyAlignment="1" applyProtection="1">
      <alignment horizontal="center"/>
      <protection locked="0"/>
    </xf>
    <xf numFmtId="1" fontId="0" fillId="0" borderId="0" xfId="0" applyNumberFormat="1" applyAlignment="1" applyProtection="1">
      <alignment horizontal="center"/>
      <protection locked="0"/>
    </xf>
    <xf numFmtId="0" fontId="5" fillId="3" borderId="2" xfId="0" applyFont="1" applyFill="1" applyBorder="1" applyAlignment="1" applyProtection="1">
      <alignment horizontal="center" vertical="center"/>
      <protection locked="0"/>
    </xf>
    <xf numFmtId="0" fontId="5" fillId="3" borderId="11" xfId="0" applyFont="1" applyFill="1" applyBorder="1" applyAlignment="1" applyProtection="1">
      <alignment horizontal="center" vertical="center"/>
      <protection locked="0"/>
    </xf>
    <xf numFmtId="0" fontId="10" fillId="0" borderId="0" xfId="0" applyFont="1" applyAlignment="1" applyProtection="1">
      <alignment horizontal="center"/>
      <protection locked="0"/>
    </xf>
    <xf numFmtId="0" fontId="10" fillId="0" borderId="0" xfId="0" applyFont="1" applyFill="1" applyAlignment="1" applyProtection="1">
      <alignment horizontal="center"/>
      <protection locked="0"/>
    </xf>
    <xf numFmtId="0" fontId="22" fillId="3" borderId="5" xfId="0" applyFont="1" applyFill="1" applyBorder="1" applyAlignment="1">
      <alignment horizontal="right"/>
    </xf>
    <xf numFmtId="166" fontId="22" fillId="3" borderId="11" xfId="0" applyNumberFormat="1" applyFont="1" applyFill="1" applyBorder="1" applyAlignment="1">
      <alignment horizontal="left"/>
    </xf>
    <xf numFmtId="0" fontId="16" fillId="2" borderId="1" xfId="0" applyFont="1" applyFill="1" applyBorder="1" applyAlignment="1">
      <alignment horizontal="center" vertical="center"/>
    </xf>
    <xf numFmtId="0" fontId="0" fillId="3" borderId="9" xfId="0" applyFill="1" applyBorder="1" applyAlignment="1">
      <alignment horizontal="center"/>
    </xf>
    <xf numFmtId="0" fontId="16" fillId="6" borderId="8" xfId="0" applyFont="1" applyFill="1" applyBorder="1" applyAlignment="1">
      <alignment horizontal="center" vertical="center"/>
    </xf>
    <xf numFmtId="0" fontId="16" fillId="6" borderId="0" xfId="0" applyFont="1" applyFill="1" applyBorder="1" applyAlignment="1">
      <alignment horizontal="center" vertical="center"/>
    </xf>
    <xf numFmtId="0" fontId="16" fillId="6" borderId="3" xfId="0" applyFont="1" applyFill="1" applyBorder="1" applyAlignment="1">
      <alignment horizontal="center" vertical="center"/>
    </xf>
    <xf numFmtId="0" fontId="16" fillId="6" borderId="12" xfId="0" applyFont="1" applyFill="1" applyBorder="1" applyAlignment="1">
      <alignment horizontal="center" vertical="center"/>
    </xf>
    <xf numFmtId="0" fontId="16" fillId="6" borderId="9" xfId="0" applyFont="1" applyFill="1" applyBorder="1" applyAlignment="1">
      <alignment horizontal="center" vertical="center"/>
    </xf>
    <xf numFmtId="0" fontId="16" fillId="6" borderId="4" xfId="0" applyFont="1" applyFill="1" applyBorder="1" applyAlignment="1">
      <alignment horizontal="center" vertical="center"/>
    </xf>
    <xf numFmtId="0" fontId="9" fillId="0" borderId="0" xfId="0" applyFont="1" applyFill="1" applyAlignment="1">
      <alignment horizontal="center" textRotation="90"/>
    </xf>
    <xf numFmtId="0" fontId="14" fillId="2" borderId="6" xfId="0" applyFont="1" applyFill="1" applyBorder="1" applyAlignment="1">
      <alignment horizontal="center" vertical="center" wrapText="1"/>
    </xf>
    <xf numFmtId="0" fontId="9" fillId="2" borderId="13" xfId="0" applyFont="1" applyFill="1" applyBorder="1" applyAlignment="1">
      <alignment horizontal="center" vertical="center"/>
    </xf>
    <xf numFmtId="0" fontId="9" fillId="2" borderId="14" xfId="0" applyFont="1" applyFill="1" applyBorder="1" applyAlignment="1">
      <alignment horizontal="center" vertical="center"/>
    </xf>
    <xf numFmtId="0" fontId="13" fillId="8" borderId="10" xfId="0" applyFont="1" applyFill="1" applyBorder="1" applyAlignment="1">
      <alignment horizontal="left" vertical="center" wrapText="1"/>
    </xf>
    <xf numFmtId="0" fontId="13" fillId="8" borderId="2" xfId="0" applyFont="1" applyFill="1" applyBorder="1" applyAlignment="1">
      <alignment horizontal="left" vertical="center"/>
    </xf>
    <xf numFmtId="0" fontId="13" fillId="8" borderId="8" xfId="0" applyFont="1" applyFill="1" applyBorder="1" applyAlignment="1">
      <alignment horizontal="left" vertical="center"/>
    </xf>
    <xf numFmtId="0" fontId="13" fillId="8" borderId="3" xfId="0" applyFont="1" applyFill="1" applyBorder="1" applyAlignment="1">
      <alignment horizontal="left" vertical="center"/>
    </xf>
    <xf numFmtId="0" fontId="13" fillId="8" borderId="12" xfId="0" applyFont="1" applyFill="1" applyBorder="1" applyAlignment="1">
      <alignment horizontal="left" vertical="center"/>
    </xf>
    <xf numFmtId="0" fontId="13" fillId="8" borderId="4" xfId="0" applyFont="1" applyFill="1" applyBorder="1" applyAlignment="1">
      <alignment horizontal="left" vertical="center"/>
    </xf>
    <xf numFmtId="0" fontId="4" fillId="6" borderId="5" xfId="0" applyFont="1" applyFill="1" applyBorder="1" applyAlignment="1">
      <alignment horizontal="left"/>
    </xf>
    <xf numFmtId="0" fontId="4" fillId="6" borderId="15" xfId="0" applyFont="1" applyFill="1" applyBorder="1" applyAlignment="1">
      <alignment horizontal="left"/>
    </xf>
    <xf numFmtId="0" fontId="4" fillId="6" borderId="11" xfId="0" applyFont="1" applyFill="1" applyBorder="1" applyAlignment="1">
      <alignment horizontal="left"/>
    </xf>
    <xf numFmtId="0" fontId="3" fillId="2" borderId="13" xfId="0" applyFont="1" applyFill="1" applyBorder="1" applyAlignment="1">
      <alignment horizontal="center" vertical="center"/>
    </xf>
    <xf numFmtId="0" fontId="3" fillId="2" borderId="14" xfId="0" applyFont="1" applyFill="1" applyBorder="1" applyAlignment="1">
      <alignment horizontal="center" vertical="center"/>
    </xf>
    <xf numFmtId="0" fontId="13" fillId="8" borderId="10" xfId="0" applyFont="1" applyFill="1" applyBorder="1" applyAlignment="1">
      <alignment horizontal="center" vertical="center" wrapText="1"/>
    </xf>
    <xf numFmtId="0" fontId="13" fillId="8" borderId="8" xfId="0" applyFont="1" applyFill="1" applyBorder="1" applyAlignment="1">
      <alignment horizontal="center" vertical="center" wrapText="1"/>
    </xf>
    <xf numFmtId="0" fontId="13" fillId="8" borderId="12" xfId="0" applyFont="1" applyFill="1" applyBorder="1" applyAlignment="1">
      <alignment horizontal="center" vertical="center" wrapText="1"/>
    </xf>
    <xf numFmtId="0" fontId="10" fillId="0" borderId="1" xfId="0" applyFont="1" applyBorder="1" applyAlignment="1">
      <alignment horizontal="center" vertical="center" wrapText="1"/>
    </xf>
    <xf numFmtId="1" fontId="3" fillId="8" borderId="2" xfId="0" applyNumberFormat="1" applyFont="1" applyFill="1" applyBorder="1" applyAlignment="1">
      <alignment horizontal="left" vertical="center"/>
    </xf>
    <xf numFmtId="1" fontId="3" fillId="8" borderId="3" xfId="0" applyNumberFormat="1" applyFont="1" applyFill="1" applyBorder="1" applyAlignment="1">
      <alignment horizontal="left" vertical="center"/>
    </xf>
    <xf numFmtId="1" fontId="3" fillId="8" borderId="4" xfId="0" applyNumberFormat="1" applyFont="1" applyFill="1" applyBorder="1" applyAlignment="1">
      <alignment horizontal="left" vertical="center"/>
    </xf>
    <xf numFmtId="0" fontId="9" fillId="9" borderId="1" xfId="0" applyFont="1" applyFill="1" applyBorder="1" applyAlignment="1">
      <alignment horizontal="center" vertical="center" wrapText="1"/>
    </xf>
    <xf numFmtId="0" fontId="9" fillId="9" borderId="1" xfId="0" applyFont="1" applyFill="1" applyBorder="1" applyAlignment="1">
      <alignment horizontal="center" vertical="center"/>
    </xf>
    <xf numFmtId="0" fontId="0" fillId="9" borderId="1" xfId="0" applyFill="1" applyBorder="1" applyAlignment="1">
      <alignment horizontal="center"/>
    </xf>
    <xf numFmtId="0" fontId="4" fillId="6" borderId="7" xfId="0" applyFont="1" applyFill="1" applyBorder="1" applyAlignment="1">
      <alignment horizontal="left"/>
    </xf>
    <xf numFmtId="0" fontId="0" fillId="2" borderId="6" xfId="0" applyFill="1" applyBorder="1" applyAlignment="1">
      <alignment horizontal="center"/>
    </xf>
    <xf numFmtId="0" fontId="0" fillId="2" borderId="13" xfId="0" applyFill="1" applyBorder="1" applyAlignment="1">
      <alignment horizontal="center"/>
    </xf>
    <xf numFmtId="0" fontId="14" fillId="10" borderId="13" xfId="0" applyFont="1" applyFill="1" applyBorder="1" applyAlignment="1">
      <alignment horizontal="center" vertical="center" wrapText="1"/>
    </xf>
    <xf numFmtId="0" fontId="14" fillId="10" borderId="14" xfId="0" applyFont="1" applyFill="1" applyBorder="1" applyAlignment="1">
      <alignment horizontal="center" vertical="center" wrapText="1"/>
    </xf>
    <xf numFmtId="0" fontId="0" fillId="10" borderId="1" xfId="0" applyFill="1" applyBorder="1" applyAlignment="1">
      <alignment horizontal="center"/>
    </xf>
    <xf numFmtId="0" fontId="15" fillId="3" borderId="8" xfId="0" applyFont="1" applyFill="1" applyBorder="1" applyAlignment="1">
      <alignment horizontal="left" vertical="center"/>
    </xf>
    <xf numFmtId="0" fontId="15" fillId="3" borderId="3" xfId="0" applyFont="1" applyFill="1" applyBorder="1" applyAlignment="1">
      <alignment horizontal="left" vertical="center"/>
    </xf>
    <xf numFmtId="0" fontId="15" fillId="3" borderId="12" xfId="0" applyFont="1" applyFill="1" applyBorder="1" applyAlignment="1">
      <alignment horizontal="left" vertical="center"/>
    </xf>
    <xf numFmtId="0" fontId="15" fillId="3" borderId="4" xfId="0" applyFont="1" applyFill="1" applyBorder="1" applyAlignment="1">
      <alignment horizontal="left" vertical="center"/>
    </xf>
    <xf numFmtId="0" fontId="0" fillId="11" borderId="1" xfId="0" applyFill="1" applyBorder="1" applyAlignment="1">
      <alignment horizontal="center"/>
    </xf>
    <xf numFmtId="0" fontId="10" fillId="11" borderId="6" xfId="0" applyFont="1" applyFill="1" applyBorder="1" applyAlignment="1">
      <alignment horizontal="center" vertical="center" wrapText="1"/>
    </xf>
    <xf numFmtId="0" fontId="0" fillId="0" borderId="13" xfId="0" applyBorder="1"/>
    <xf numFmtId="0" fontId="0" fillId="0" borderId="14" xfId="0" applyBorder="1"/>
    <xf numFmtId="0" fontId="9" fillId="11" borderId="6" xfId="0" applyFont="1" applyFill="1" applyBorder="1" applyAlignment="1">
      <alignment horizontal="center" vertical="center" wrapText="1"/>
    </xf>
    <xf numFmtId="0" fontId="9" fillId="11" borderId="13" xfId="0" applyFont="1" applyFill="1" applyBorder="1" applyAlignment="1">
      <alignment horizontal="center" vertical="center"/>
    </xf>
    <xf numFmtId="0" fontId="9" fillId="11" borderId="14" xfId="0" applyFont="1" applyFill="1" applyBorder="1" applyAlignment="1">
      <alignment horizontal="center" vertical="center"/>
    </xf>
    <xf numFmtId="0" fontId="15" fillId="3" borderId="10" xfId="0" applyFont="1" applyFill="1" applyBorder="1" applyAlignment="1">
      <alignment horizontal="left" vertical="center"/>
    </xf>
    <xf numFmtId="0" fontId="15" fillId="3" borderId="2" xfId="0" applyFont="1" applyFill="1" applyBorder="1" applyAlignment="1">
      <alignment horizontal="left" vertical="center"/>
    </xf>
    <xf numFmtId="0" fontId="13" fillId="3" borderId="8" xfId="0" applyFont="1" applyFill="1" applyBorder="1" applyAlignment="1">
      <alignment horizontal="left" vertical="center"/>
    </xf>
    <xf numFmtId="0" fontId="13" fillId="3" borderId="0" xfId="0" applyFont="1" applyFill="1" applyBorder="1" applyAlignment="1">
      <alignment horizontal="left" vertical="center"/>
    </xf>
    <xf numFmtId="0" fontId="13" fillId="3" borderId="12" xfId="0" applyFont="1" applyFill="1" applyBorder="1" applyAlignment="1">
      <alignment horizontal="left" vertical="center"/>
    </xf>
    <xf numFmtId="0" fontId="13" fillId="3" borderId="9" xfId="0" applyFont="1" applyFill="1" applyBorder="1" applyAlignment="1">
      <alignment horizontal="left" vertical="center"/>
    </xf>
    <xf numFmtId="0" fontId="3" fillId="4" borderId="2" xfId="0" applyFont="1" applyFill="1" applyBorder="1" applyAlignment="1">
      <alignment horizontal="left" vertical="center"/>
    </xf>
    <xf numFmtId="0" fontId="3" fillId="4" borderId="3" xfId="0" applyFont="1" applyFill="1" applyBorder="1" applyAlignment="1">
      <alignment horizontal="left" vertical="center"/>
    </xf>
    <xf numFmtId="0" fontId="3" fillId="4" borderId="4" xfId="0" applyFont="1" applyFill="1" applyBorder="1" applyAlignment="1">
      <alignment horizontal="left" vertical="center"/>
    </xf>
    <xf numFmtId="0" fontId="13" fillId="5" borderId="8" xfId="0" applyFont="1" applyFill="1" applyBorder="1" applyAlignment="1">
      <alignment horizontal="left" vertical="center" wrapText="1"/>
    </xf>
    <xf numFmtId="0" fontId="13" fillId="5" borderId="3" xfId="0" applyFont="1" applyFill="1" applyBorder="1" applyAlignment="1">
      <alignment horizontal="left" vertical="center"/>
    </xf>
    <xf numFmtId="0" fontId="13" fillId="5" borderId="12" xfId="0" applyFont="1" applyFill="1" applyBorder="1" applyAlignment="1">
      <alignment horizontal="left" vertical="center"/>
    </xf>
    <xf numFmtId="0" fontId="13" fillId="5" borderId="4" xfId="0" applyFont="1" applyFill="1" applyBorder="1" applyAlignment="1">
      <alignment horizontal="left" vertical="center"/>
    </xf>
    <xf numFmtId="0" fontId="13" fillId="5" borderId="1" xfId="0" applyFont="1" applyFill="1" applyBorder="1" applyAlignment="1">
      <alignment horizontal="left" vertical="center" wrapText="1"/>
    </xf>
    <xf numFmtId="0" fontId="13" fillId="5" borderId="1" xfId="0" applyFont="1" applyFill="1" applyBorder="1" applyAlignment="1">
      <alignment horizontal="left" vertical="center"/>
    </xf>
    <xf numFmtId="0" fontId="13" fillId="5" borderId="6" xfId="0" applyFont="1" applyFill="1" applyBorder="1" applyAlignment="1">
      <alignment horizontal="left" vertical="center"/>
    </xf>
    <xf numFmtId="0" fontId="13" fillId="12" borderId="10" xfId="0" applyFont="1" applyFill="1" applyBorder="1" applyAlignment="1">
      <alignment horizontal="left" vertical="center"/>
    </xf>
    <xf numFmtId="0" fontId="13" fillId="12" borderId="2" xfId="0" applyFont="1" applyFill="1" applyBorder="1" applyAlignment="1">
      <alignment horizontal="left" vertical="center"/>
    </xf>
    <xf numFmtId="0" fontId="13" fillId="12" borderId="12" xfId="0" applyFont="1" applyFill="1" applyBorder="1" applyAlignment="1">
      <alignment horizontal="left" vertical="center"/>
    </xf>
    <xf numFmtId="0" fontId="13" fillId="12" borderId="4" xfId="0" applyFont="1" applyFill="1" applyBorder="1" applyAlignment="1">
      <alignment horizontal="left" vertical="center"/>
    </xf>
    <xf numFmtId="0" fontId="13" fillId="4" borderId="10" xfId="0" applyFont="1" applyFill="1" applyBorder="1" applyAlignment="1">
      <alignment horizontal="center" vertical="center" wrapText="1"/>
    </xf>
    <xf numFmtId="0" fontId="13" fillId="4" borderId="8" xfId="0" applyFont="1" applyFill="1" applyBorder="1" applyAlignment="1">
      <alignment horizontal="center" vertical="center" wrapText="1"/>
    </xf>
    <xf numFmtId="0" fontId="13" fillId="4" borderId="12" xfId="0" applyFont="1" applyFill="1" applyBorder="1" applyAlignment="1">
      <alignment horizontal="center" vertical="center" wrapText="1"/>
    </xf>
    <xf numFmtId="0" fontId="12" fillId="13" borderId="10" xfId="0" applyFont="1" applyFill="1" applyBorder="1" applyAlignment="1">
      <alignment horizontal="center" vertical="center"/>
    </xf>
    <xf numFmtId="0" fontId="12" fillId="13" borderId="2" xfId="0" applyFont="1" applyFill="1" applyBorder="1" applyAlignment="1">
      <alignment horizontal="center" vertical="center"/>
    </xf>
    <xf numFmtId="0" fontId="12" fillId="13" borderId="12" xfId="0" applyFont="1" applyFill="1" applyBorder="1" applyAlignment="1">
      <alignment horizontal="center" vertical="center"/>
    </xf>
    <xf numFmtId="0" fontId="12" fillId="13" borderId="4" xfId="0" applyFont="1" applyFill="1" applyBorder="1" applyAlignment="1">
      <alignment horizontal="center" vertical="center"/>
    </xf>
    <xf numFmtId="0" fontId="0" fillId="10" borderId="1" xfId="0" applyFill="1" applyBorder="1" applyAlignment="1">
      <alignment horizontal="center" wrapText="1"/>
    </xf>
    <xf numFmtId="0" fontId="0" fillId="4" borderId="1" xfId="0" applyFill="1" applyBorder="1" applyAlignment="1">
      <alignment horizontal="center"/>
    </xf>
    <xf numFmtId="0" fontId="0" fillId="4" borderId="5" xfId="0" applyFill="1" applyBorder="1" applyAlignment="1">
      <alignment horizontal="center"/>
    </xf>
    <xf numFmtId="0" fontId="0" fillId="4" borderId="1" xfId="0" applyFill="1" applyBorder="1" applyAlignment="1">
      <alignment horizontal="center" wrapText="1"/>
    </xf>
    <xf numFmtId="0" fontId="0" fillId="11" borderId="1" xfId="0" applyFill="1" applyBorder="1" applyAlignment="1">
      <alignment horizontal="center" wrapText="1"/>
    </xf>
    <xf numFmtId="1" fontId="0" fillId="4" borderId="1" xfId="0" applyNumberFormat="1" applyFill="1" applyBorder="1" applyAlignment="1">
      <alignment horizontal="center" wrapText="1"/>
    </xf>
    <xf numFmtId="1" fontId="0" fillId="4" borderId="1" xfId="0" applyNumberFormat="1" applyFill="1" applyBorder="1" applyAlignment="1">
      <alignment horizontal="center"/>
    </xf>
    <xf numFmtId="0" fontId="2" fillId="0" borderId="0" xfId="0" applyFont="1" applyFill="1" applyAlignment="1">
      <alignment horizontal="center" textRotation="90"/>
    </xf>
    <xf numFmtId="0" fontId="2" fillId="0" borderId="0" xfId="0" applyFont="1" applyFill="1" applyBorder="1" applyAlignment="1">
      <alignment horizontal="center" textRotation="90"/>
    </xf>
    <xf numFmtId="0" fontId="0" fillId="0" borderId="6" xfId="0" applyBorder="1" applyAlignment="1">
      <alignment horizontal="center" vertical="center" wrapText="1"/>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5" xfId="0" applyBorder="1" applyAlignment="1">
      <alignment horizontal="right"/>
    </xf>
    <xf numFmtId="0" fontId="0" fillId="0" borderId="15" xfId="0" applyBorder="1" applyAlignment="1">
      <alignment horizontal="right"/>
    </xf>
    <xf numFmtId="0" fontId="0" fillId="0" borderId="11" xfId="0" applyBorder="1" applyAlignment="1">
      <alignment horizontal="right"/>
    </xf>
    <xf numFmtId="0" fontId="18" fillId="14" borderId="10" xfId="0" applyFont="1" applyFill="1" applyBorder="1" applyAlignment="1">
      <alignment horizontal="center" wrapText="1"/>
    </xf>
    <xf numFmtId="0" fontId="1" fillId="14" borderId="2" xfId="0" applyFont="1" applyFill="1" applyBorder="1" applyAlignment="1">
      <alignment horizontal="center"/>
    </xf>
    <xf numFmtId="0" fontId="1" fillId="14" borderId="12" xfId="0" applyFont="1" applyFill="1" applyBorder="1" applyAlignment="1">
      <alignment horizontal="center"/>
    </xf>
    <xf numFmtId="0" fontId="1" fillId="14" borderId="4" xfId="0" applyFont="1" applyFill="1" applyBorder="1" applyAlignment="1">
      <alignment horizontal="center"/>
    </xf>
    <xf numFmtId="0" fontId="7" fillId="2" borderId="18" xfId="0" applyFont="1" applyFill="1" applyBorder="1" applyAlignment="1">
      <alignment horizontal="center" vertical="center" wrapText="1"/>
    </xf>
    <xf numFmtId="0" fontId="7" fillId="2" borderId="19" xfId="0" applyFont="1" applyFill="1" applyBorder="1" applyAlignment="1">
      <alignment horizontal="center" vertical="center"/>
    </xf>
    <xf numFmtId="0" fontId="7" fillId="2" borderId="20" xfId="0" applyFont="1" applyFill="1" applyBorder="1" applyAlignment="1">
      <alignment horizontal="center" vertical="center"/>
    </xf>
    <xf numFmtId="0" fontId="7" fillId="2" borderId="21" xfId="0" applyFont="1" applyFill="1" applyBorder="1" applyAlignment="1">
      <alignment horizontal="center" vertical="center"/>
    </xf>
    <xf numFmtId="0" fontId="7" fillId="2" borderId="0" xfId="0" applyFont="1" applyFill="1" applyBorder="1" applyAlignment="1">
      <alignment horizontal="center" vertical="center"/>
    </xf>
    <xf numFmtId="0" fontId="7" fillId="2" borderId="22" xfId="0" applyFont="1" applyFill="1" applyBorder="1" applyAlignment="1">
      <alignment horizontal="center" vertical="center"/>
    </xf>
    <xf numFmtId="0" fontId="7" fillId="2" borderId="23" xfId="0" applyFont="1" applyFill="1" applyBorder="1" applyAlignment="1">
      <alignment horizontal="center" vertical="center"/>
    </xf>
    <xf numFmtId="0" fontId="7" fillId="2" borderId="24" xfId="0" applyFont="1" applyFill="1" applyBorder="1" applyAlignment="1">
      <alignment horizontal="center" vertical="center"/>
    </xf>
    <xf numFmtId="0" fontId="7" fillId="2" borderId="25" xfId="0" applyFont="1" applyFill="1" applyBorder="1" applyAlignment="1">
      <alignment horizontal="center" vertical="center"/>
    </xf>
    <xf numFmtId="0" fontId="3" fillId="8" borderId="16" xfId="0" applyFont="1" applyFill="1" applyBorder="1" applyAlignment="1">
      <alignment horizontal="center" vertical="center"/>
    </xf>
    <xf numFmtId="0" fontId="3" fillId="8" borderId="17" xfId="0" applyFont="1" applyFill="1" applyBorder="1" applyAlignment="1">
      <alignment horizontal="center" vertical="center"/>
    </xf>
    <xf numFmtId="0" fontId="3" fillId="8" borderId="16" xfId="0" applyFont="1" applyFill="1" applyBorder="1" applyAlignment="1">
      <alignment horizontal="center" vertical="center" wrapText="1"/>
    </xf>
    <xf numFmtId="0" fontId="3" fillId="8" borderId="17" xfId="0" applyFont="1" applyFill="1" applyBorder="1" applyAlignment="1">
      <alignment horizontal="center" vertical="center" wrapText="1"/>
    </xf>
    <xf numFmtId="0" fontId="18" fillId="0" borderId="1" xfId="0" applyFont="1" applyBorder="1" applyAlignment="1" applyProtection="1">
      <alignment horizontal="center" vertical="center" wrapText="1"/>
    </xf>
    <xf numFmtId="0" fontId="0" fillId="0" borderId="1" xfId="0" applyBorder="1" applyAlignment="1" applyProtection="1">
      <alignment horizontal="center" vertical="center"/>
    </xf>
    <xf numFmtId="49" fontId="18" fillId="0" borderId="1" xfId="0" applyNumberFormat="1" applyFont="1" applyBorder="1" applyAlignment="1" applyProtection="1">
      <alignment horizontal="center" vertical="center"/>
    </xf>
    <xf numFmtId="49" fontId="0" fillId="0" borderId="1" xfId="0" applyNumberFormat="1" applyBorder="1" applyAlignment="1" applyProtection="1">
      <alignment horizontal="center" vertical="center"/>
    </xf>
    <xf numFmtId="0" fontId="1" fillId="0" borderId="8" xfId="0" applyFont="1" applyBorder="1" applyAlignment="1" applyProtection="1">
      <alignment horizontal="center" vertical="center" wrapText="1"/>
    </xf>
    <xf numFmtId="0" fontId="1" fillId="0" borderId="0" xfId="0" applyFont="1" applyAlignment="1" applyProtection="1">
      <alignment horizontal="center" vertical="center" wrapText="1"/>
    </xf>
  </cellXfs>
  <cellStyles count="1">
    <cellStyle name="Normal" xfId="0" builtinId="0"/>
  </cellStyles>
  <dxfs count="16">
    <dxf>
      <font>
        <color theme="0"/>
      </font>
    </dxf>
    <dxf>
      <font>
        <color theme="0"/>
      </font>
    </dxf>
    <dxf>
      <font>
        <color theme="0"/>
      </font>
    </dxf>
    <dxf>
      <font>
        <color theme="0"/>
      </font>
    </dxf>
    <dxf>
      <font>
        <color theme="0" tint="-0.24994659260841701"/>
      </font>
    </dxf>
    <dxf>
      <font>
        <color theme="0" tint="-0.24994659260841701"/>
      </font>
    </dxf>
    <dxf>
      <fill>
        <patternFill>
          <bgColor indexed="15"/>
        </patternFill>
      </fill>
    </dxf>
    <dxf>
      <fill>
        <patternFill>
          <bgColor indexed="14"/>
        </patternFill>
      </fill>
    </dxf>
    <dxf>
      <fill>
        <patternFill>
          <bgColor indexed="10"/>
        </patternFill>
      </fill>
    </dxf>
    <dxf>
      <fill>
        <patternFill>
          <bgColor indexed="11"/>
        </patternFill>
      </fill>
    </dxf>
    <dxf>
      <font>
        <condense val="0"/>
        <extend val="0"/>
        <color indexed="9"/>
      </font>
    </dxf>
    <dxf>
      <fill>
        <patternFill>
          <bgColor indexed="15"/>
        </patternFill>
      </fill>
    </dxf>
    <dxf>
      <fill>
        <patternFill>
          <bgColor indexed="14"/>
        </patternFill>
      </fill>
    </dxf>
    <dxf>
      <fill>
        <patternFill>
          <bgColor indexed="10"/>
        </patternFill>
      </fill>
    </dxf>
    <dxf>
      <fill>
        <patternFill>
          <bgColor indexed="11"/>
        </patternFill>
      </fill>
    </dxf>
    <dxf>
      <font>
        <condense val="0"/>
        <extend val="0"/>
        <color indexed="9"/>
      </font>
    </dxf>
  </dxfs>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467245894052644E-2"/>
          <c:y val="4.56204379562044E-2"/>
          <c:w val="0.90495432897518324"/>
          <c:h val="0.91058394160583922"/>
        </c:manualLayout>
      </c:layout>
      <c:scatterChart>
        <c:scatterStyle val="lineMarker"/>
        <c:varyColors val="0"/>
        <c:ser>
          <c:idx val="1"/>
          <c:order val="0"/>
          <c:tx>
            <c:v>linear region limits</c:v>
          </c:tx>
          <c:spPr>
            <a:ln w="28575">
              <a:noFill/>
            </a:ln>
          </c:spPr>
          <c:marker>
            <c:symbol val="circle"/>
            <c:size val="9"/>
            <c:spPr>
              <a:solidFill>
                <a:srgbClr val="FF0000"/>
              </a:solidFill>
              <a:ln>
                <a:solidFill>
                  <a:srgbClr val="000000"/>
                </a:solidFill>
                <a:prstDash val="solid"/>
              </a:ln>
            </c:spPr>
          </c:marker>
          <c:xVal>
            <c:numRef>
              <c:f>calculations!$J$20:$K$20</c:f>
              <c:numCache>
                <c:formatCode>General</c:formatCode>
                <c:ptCount val="2"/>
                <c:pt idx="0">
                  <c:v>-5</c:v>
                </c:pt>
                <c:pt idx="1">
                  <c:v>3</c:v>
                </c:pt>
              </c:numCache>
            </c:numRef>
          </c:xVal>
          <c:yVal>
            <c:numRef>
              <c:f>calculations!$J$21:$K$21</c:f>
              <c:numCache>
                <c:formatCode>General</c:formatCode>
                <c:ptCount val="2"/>
                <c:pt idx="0">
                  <c:v>-0.39960000000000001</c:v>
                </c:pt>
                <c:pt idx="1">
                  <c:v>0.51619999999999999</c:v>
                </c:pt>
              </c:numCache>
            </c:numRef>
          </c:yVal>
          <c:smooth val="0"/>
          <c:extLst>
            <c:ext xmlns:c16="http://schemas.microsoft.com/office/drawing/2014/chart" uri="{C3380CC4-5D6E-409C-BE32-E72D297353CC}">
              <c16:uniqueId val="{00000000-E822-4B01-BE9C-9979FB4F19D6}"/>
            </c:ext>
          </c:extLst>
        </c:ser>
        <c:ser>
          <c:idx val="2"/>
          <c:order val="1"/>
          <c:tx>
            <c:v>CLmax limits</c:v>
          </c:tx>
          <c:spPr>
            <a:ln w="28575">
              <a:noFill/>
            </a:ln>
          </c:spPr>
          <c:marker>
            <c:symbol val="diamond"/>
            <c:size val="9"/>
            <c:spPr>
              <a:solidFill>
                <a:srgbClr val="FFCC00"/>
              </a:solidFill>
              <a:ln>
                <a:solidFill>
                  <a:srgbClr val="000000"/>
                </a:solidFill>
                <a:prstDash val="solid"/>
              </a:ln>
            </c:spPr>
          </c:marker>
          <c:xVal>
            <c:numRef>
              <c:f>calculations!$J$25:$K$25</c:f>
              <c:numCache>
                <c:formatCode>General</c:formatCode>
                <c:ptCount val="2"/>
                <c:pt idx="0">
                  <c:v>1</c:v>
                </c:pt>
                <c:pt idx="1">
                  <c:v>20</c:v>
                </c:pt>
              </c:numCache>
            </c:numRef>
          </c:xVal>
          <c:yVal>
            <c:numRef>
              <c:f>calculations!$J$26:$K$26</c:f>
              <c:numCache>
                <c:formatCode>General</c:formatCode>
                <c:ptCount val="2"/>
                <c:pt idx="0">
                  <c:v>0.28710000000000002</c:v>
                </c:pt>
                <c:pt idx="1">
                  <c:v>0.74750000000000005</c:v>
                </c:pt>
              </c:numCache>
            </c:numRef>
          </c:yVal>
          <c:smooth val="0"/>
          <c:extLst>
            <c:ext xmlns:c16="http://schemas.microsoft.com/office/drawing/2014/chart" uri="{C3380CC4-5D6E-409C-BE32-E72D297353CC}">
              <c16:uniqueId val="{00000001-E822-4B01-BE9C-9979FB4F19D6}"/>
            </c:ext>
          </c:extLst>
        </c:ser>
        <c:ser>
          <c:idx val="0"/>
          <c:order val="2"/>
          <c:tx>
            <c:v>CL original data</c:v>
          </c:tx>
          <c:spPr>
            <a:ln w="12700">
              <a:solidFill>
                <a:srgbClr val="0000FF"/>
              </a:solidFill>
              <a:prstDash val="solid"/>
            </a:ln>
          </c:spPr>
          <c:marker>
            <c:symbol val="circle"/>
            <c:size val="3"/>
            <c:spPr>
              <a:solidFill>
                <a:srgbClr val="0000FF"/>
              </a:solidFill>
              <a:ln>
                <a:solidFill>
                  <a:srgbClr val="0000FF"/>
                </a:solidFill>
                <a:prstDash val="solid"/>
              </a:ln>
            </c:spPr>
          </c:marker>
          <c:xVal>
            <c:numRef>
              <c:f>calculations!$F$37:$F$136</c:f>
              <c:numCache>
                <c:formatCode>General</c:formatCode>
                <c:ptCount val="100"/>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20</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calculations!$G$37:$G$136</c:f>
              <c:numCache>
                <c:formatCode>General</c:formatCode>
                <c:ptCount val="100"/>
                <c:pt idx="0">
                  <c:v>-0.77410000000000001</c:v>
                </c:pt>
                <c:pt idx="1">
                  <c:v>-0.72460000000000002</c:v>
                </c:pt>
                <c:pt idx="2">
                  <c:v>-0.67400000000000004</c:v>
                </c:pt>
                <c:pt idx="3">
                  <c:v>-0.59370000000000001</c:v>
                </c:pt>
                <c:pt idx="4">
                  <c:v>-0.497</c:v>
                </c:pt>
                <c:pt idx="5">
                  <c:v>-0.39960000000000001</c:v>
                </c:pt>
                <c:pt idx="6">
                  <c:v>-0.29170000000000001</c:v>
                </c:pt>
                <c:pt idx="7">
                  <c:v>-0.17760000000000001</c:v>
                </c:pt>
                <c:pt idx="8">
                  <c:v>-6.1800000000000001E-2</c:v>
                </c:pt>
                <c:pt idx="9">
                  <c:v>5.4600000000000003E-2</c:v>
                </c:pt>
                <c:pt idx="10">
                  <c:v>0.1709</c:v>
                </c:pt>
                <c:pt idx="11">
                  <c:v>0.28710000000000002</c:v>
                </c:pt>
                <c:pt idx="12">
                  <c:v>0.40229999999999999</c:v>
                </c:pt>
                <c:pt idx="13">
                  <c:v>0.51619999999999999</c:v>
                </c:pt>
                <c:pt idx="14">
                  <c:v>0.62660000000000005</c:v>
                </c:pt>
                <c:pt idx="15">
                  <c:v>0.73280000000000001</c:v>
                </c:pt>
                <c:pt idx="16">
                  <c:v>0.81640000000000001</c:v>
                </c:pt>
                <c:pt idx="17">
                  <c:v>0.88560000000000005</c:v>
                </c:pt>
                <c:pt idx="18">
                  <c:v>0.92300000000000004</c:v>
                </c:pt>
                <c:pt idx="19">
                  <c:v>0.92859999999999998</c:v>
                </c:pt>
                <c:pt idx="20">
                  <c:v>0.9677</c:v>
                </c:pt>
                <c:pt idx="21">
                  <c:v>0.99050000000000005</c:v>
                </c:pt>
                <c:pt idx="22">
                  <c:v>1.0083</c:v>
                </c:pt>
                <c:pt idx="23">
                  <c:v>1.0244</c:v>
                </c:pt>
                <c:pt idx="24">
                  <c:v>1.0398000000000001</c:v>
                </c:pt>
                <c:pt idx="25">
                  <c:v>1.0492999999999999</c:v>
                </c:pt>
                <c:pt idx="26">
                  <c:v>1.0463</c:v>
                </c:pt>
                <c:pt idx="27">
                  <c:v>1.0257000000000001</c:v>
                </c:pt>
                <c:pt idx="28">
                  <c:v>0.97970000000000002</c:v>
                </c:pt>
                <c:pt idx="29">
                  <c:v>0.74750000000000005</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2-E822-4B01-BE9C-9979FB4F19D6}"/>
            </c:ext>
          </c:extLst>
        </c:ser>
        <c:ser>
          <c:idx val="3"/>
          <c:order val="3"/>
          <c:tx>
            <c:v>moving average line</c:v>
          </c:tx>
          <c:spPr>
            <a:ln w="25400">
              <a:solidFill>
                <a:srgbClr val="00CCFF"/>
              </a:solidFill>
              <a:prstDash val="solid"/>
            </a:ln>
          </c:spPr>
          <c:marker>
            <c:symbol val="none"/>
          </c:marker>
          <c:xVal>
            <c:numRef>
              <c:f>calculations!$F$37:$F$136</c:f>
              <c:numCache>
                <c:formatCode>General</c:formatCode>
                <c:ptCount val="100"/>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20</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calculations!$J$37:$J$136</c:f>
              <c:numCache>
                <c:formatCode>0.0000</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3-E822-4B01-BE9C-9979FB4F19D6}"/>
            </c:ext>
          </c:extLst>
        </c:ser>
        <c:ser>
          <c:idx val="4"/>
          <c:order val="4"/>
          <c:tx>
            <c:v>polynomial fit line</c:v>
          </c:tx>
          <c:spPr>
            <a:ln w="25400">
              <a:solidFill>
                <a:srgbClr val="FF00FF"/>
              </a:solidFill>
              <a:prstDash val="solid"/>
            </a:ln>
          </c:spPr>
          <c:marker>
            <c:symbol val="none"/>
          </c:marker>
          <c:xVal>
            <c:numRef>
              <c:f>calculations!$F$37:$F$136</c:f>
              <c:numCache>
                <c:formatCode>General</c:formatCode>
                <c:ptCount val="100"/>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20</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calculations!$K$37:$K$136</c:f>
              <c:numCache>
                <c:formatCode>0.0000</c:formatCode>
                <c:ptCount val="100"/>
                <c:pt idx="0">
                  <c:v>#N/A</c:v>
                </c:pt>
                <c:pt idx="1">
                  <c:v>#N/A</c:v>
                </c:pt>
                <c:pt idx="2">
                  <c:v>#N/A</c:v>
                </c:pt>
                <c:pt idx="3">
                  <c:v>#N/A</c:v>
                </c:pt>
                <c:pt idx="4">
                  <c:v>#N/A</c:v>
                </c:pt>
                <c:pt idx="5">
                  <c:v>#N/A</c:v>
                </c:pt>
                <c:pt idx="6">
                  <c:v>#N/A</c:v>
                </c:pt>
                <c:pt idx="7">
                  <c:v>#N/A</c:v>
                </c:pt>
                <c:pt idx="8">
                  <c:v>#N/A</c:v>
                </c:pt>
                <c:pt idx="9">
                  <c:v>#N/A</c:v>
                </c:pt>
                <c:pt idx="10">
                  <c:v>#N/A</c:v>
                </c:pt>
                <c:pt idx="11">
                  <c:v>0.29773925268304047</c:v>
                </c:pt>
                <c:pt idx="12">
                  <c:v>0.41123036360700765</c:v>
                </c:pt>
                <c:pt idx="13">
                  <c:v>0.51771818479362397</c:v>
                </c:pt>
                <c:pt idx="14">
                  <c:v>0.61670981556419913</c:v>
                </c:pt>
                <c:pt idx="15">
                  <c:v>0.70771235524004283</c:v>
                </c:pt>
                <c:pt idx="16">
                  <c:v>0.79023290314246475</c:v>
                </c:pt>
                <c:pt idx="17">
                  <c:v>0.86377855859277441</c:v>
                </c:pt>
                <c:pt idx="18">
                  <c:v>0.9278564209122816</c:v>
                </c:pt>
                <c:pt idx="19">
                  <c:v>0.98197358942229618</c:v>
                </c:pt>
                <c:pt idx="20">
                  <c:v>1.0256371634441275</c:v>
                </c:pt>
                <c:pt idx="21">
                  <c:v>1.0583542422990853</c:v>
                </c:pt>
                <c:pt idx="22">
                  <c:v>1.0796319253084794</c:v>
                </c:pt>
                <c:pt idx="23">
                  <c:v>1.0889773117936195</c:v>
                </c:pt>
                <c:pt idx="24">
                  <c:v>1.0858975010758152</c:v>
                </c:pt>
                <c:pt idx="25">
                  <c:v>1.0698995924763759</c:v>
                </c:pt>
                <c:pt idx="26">
                  <c:v>1.0404906853166118</c:v>
                </c:pt>
                <c:pt idx="27">
                  <c:v>0.99717787891783261</c:v>
                </c:pt>
                <c:pt idx="28">
                  <c:v>0.93946827260134713</c:v>
                </c:pt>
                <c:pt idx="29">
                  <c:v>0.77888705750049791</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4-E822-4B01-BE9C-9979FB4F19D6}"/>
            </c:ext>
          </c:extLst>
        </c:ser>
        <c:ser>
          <c:idx val="5"/>
          <c:order val="5"/>
          <c:tx>
            <c:v>linear fit</c:v>
          </c:tx>
          <c:spPr>
            <a:ln w="25400">
              <a:solidFill>
                <a:srgbClr val="800000"/>
              </a:solidFill>
              <a:prstDash val="solid"/>
            </a:ln>
          </c:spPr>
          <c:marker>
            <c:symbol val="none"/>
          </c:marker>
          <c:xVal>
            <c:numRef>
              <c:f>calculations!$F$37:$F$136</c:f>
              <c:numCache>
                <c:formatCode>General</c:formatCode>
                <c:ptCount val="100"/>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20</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calculations!$L$37:$L$136</c:f>
              <c:numCache>
                <c:formatCode>0.0000</c:formatCode>
                <c:ptCount val="100"/>
                <c:pt idx="0">
                  <c:v>#N/A</c:v>
                </c:pt>
                <c:pt idx="1">
                  <c:v>#N/A</c:v>
                </c:pt>
                <c:pt idx="2">
                  <c:v>#N/A</c:v>
                </c:pt>
                <c:pt idx="3">
                  <c:v>#N/A</c:v>
                </c:pt>
                <c:pt idx="4">
                  <c:v>#N/A</c:v>
                </c:pt>
                <c:pt idx="5">
                  <c:v>-0.40488666666666684</c:v>
                </c:pt>
                <c:pt idx="6">
                  <c:v>-0.28976500000000005</c:v>
                </c:pt>
                <c:pt idx="7">
                  <c:v>-0.1746433333333334</c:v>
                </c:pt>
                <c:pt idx="8">
                  <c:v>-5.9521666666666695E-2</c:v>
                </c:pt>
                <c:pt idx="9">
                  <c:v>5.5599999999999997E-2</c:v>
                </c:pt>
                <c:pt idx="10">
                  <c:v>0.17072166666666669</c:v>
                </c:pt>
                <c:pt idx="11">
                  <c:v>0.28584333333333339</c:v>
                </c:pt>
                <c:pt idx="12">
                  <c:v>0.40096500000000007</c:v>
                </c:pt>
                <c:pt idx="13">
                  <c:v>0.5160866666666668</c:v>
                </c:pt>
                <c:pt idx="14">
                  <c:v>0.63120833333333348</c:v>
                </c:pt>
                <c:pt idx="15">
                  <c:v>0.74633000000000016</c:v>
                </c:pt>
                <c:pt idx="16">
                  <c:v>0.86145166666666684</c:v>
                </c:pt>
                <c:pt idx="17">
                  <c:v>0.97657333333333352</c:v>
                </c:pt>
                <c:pt idx="18">
                  <c:v>1.0916950000000003</c:v>
                </c:pt>
                <c:pt idx="19">
                  <c:v>1.2068166666666669</c:v>
                </c:pt>
                <c:pt idx="20">
                  <c:v>1.3219383333333337</c:v>
                </c:pt>
                <c:pt idx="21">
                  <c:v>1.4370600000000002</c:v>
                </c:pt>
                <c:pt idx="22">
                  <c:v>1.552181666666667</c:v>
                </c:pt>
                <c:pt idx="23">
                  <c:v>1.6673033333333336</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5-E822-4B01-BE9C-9979FB4F19D6}"/>
            </c:ext>
          </c:extLst>
        </c:ser>
        <c:ser>
          <c:idx val="9"/>
          <c:order val="6"/>
          <c:tx>
            <c:v>A0</c:v>
          </c:tx>
          <c:spPr>
            <a:ln w="28575">
              <a:noFill/>
            </a:ln>
          </c:spPr>
          <c:marker>
            <c:symbol val="circle"/>
            <c:size val="8"/>
            <c:spPr>
              <a:solidFill>
                <a:srgbClr val="FFFFFF"/>
              </a:solidFill>
              <a:ln w="19050">
                <a:solidFill>
                  <a:srgbClr val="800000"/>
                </a:solidFill>
                <a:prstDash val="solid"/>
              </a:ln>
            </c:spPr>
          </c:marker>
          <c:xVal>
            <c:numRef>
              <c:f>calculations!$M$28</c:f>
              <c:numCache>
                <c:formatCode>0.0000</c:formatCode>
                <c:ptCount val="1"/>
                <c:pt idx="0">
                  <c:v>-1.4690721649484537</c:v>
                </c:pt>
              </c:numCache>
            </c:numRef>
          </c:xVal>
          <c:yVal>
            <c:numLit>
              <c:formatCode>General</c:formatCode>
              <c:ptCount val="1"/>
              <c:pt idx="0">
                <c:v>0</c:v>
              </c:pt>
            </c:numLit>
          </c:yVal>
          <c:smooth val="0"/>
          <c:extLst>
            <c:ext xmlns:c16="http://schemas.microsoft.com/office/drawing/2014/chart" uri="{C3380CC4-5D6E-409C-BE32-E72D297353CC}">
              <c16:uniqueId val="{00000006-E822-4B01-BE9C-9979FB4F19D6}"/>
            </c:ext>
          </c:extLst>
        </c:ser>
        <c:ser>
          <c:idx val="10"/>
          <c:order val="10"/>
          <c:tx>
            <c:v>point to alter polynomial fit</c:v>
          </c:tx>
          <c:spPr>
            <a:ln w="28575">
              <a:noFill/>
            </a:ln>
          </c:spPr>
          <c:marker>
            <c:symbol val="circle"/>
            <c:size val="8"/>
            <c:spPr>
              <a:solidFill>
                <a:srgbClr val="33CCCC"/>
              </a:solidFill>
              <a:ln>
                <a:solidFill>
                  <a:srgbClr val="000000"/>
                </a:solidFill>
                <a:prstDash val="solid"/>
              </a:ln>
            </c:spPr>
          </c:marker>
          <c:xVal>
            <c:numRef>
              <c:f>calculations!$G$30</c:f>
              <c:numCache>
                <c:formatCode>General</c:formatCode>
                <c:ptCount val="1"/>
                <c:pt idx="0">
                  <c:v>12</c:v>
                </c:pt>
              </c:numCache>
            </c:numRef>
          </c:xVal>
          <c:yVal>
            <c:numRef>
              <c:f>calculations!$G$31</c:f>
              <c:numCache>
                <c:formatCode>General</c:formatCode>
                <c:ptCount val="1"/>
                <c:pt idx="0">
                  <c:v>1.0083</c:v>
                </c:pt>
              </c:numCache>
            </c:numRef>
          </c:yVal>
          <c:smooth val="0"/>
          <c:extLst>
            <c:ext xmlns:c16="http://schemas.microsoft.com/office/drawing/2014/chart" uri="{C3380CC4-5D6E-409C-BE32-E72D297353CC}">
              <c16:uniqueId val="{00000007-E822-4B01-BE9C-9979FB4F19D6}"/>
            </c:ext>
          </c:extLst>
        </c:ser>
        <c:dLbls>
          <c:showLegendKey val="0"/>
          <c:showVal val="0"/>
          <c:showCatName val="0"/>
          <c:showSerName val="0"/>
          <c:showPercent val="0"/>
          <c:showBubbleSize val="0"/>
        </c:dLbls>
        <c:axId val="199625200"/>
        <c:axId val="1"/>
      </c:scatterChart>
      <c:scatterChart>
        <c:scatterStyle val="lineMarker"/>
        <c:varyColors val="0"/>
        <c:ser>
          <c:idx val="7"/>
          <c:order val="7"/>
          <c:tx>
            <c:v>CD1max</c:v>
          </c:tx>
          <c:spPr>
            <a:ln w="28575">
              <a:noFill/>
            </a:ln>
          </c:spPr>
          <c:marker>
            <c:symbol val="circle"/>
            <c:size val="9"/>
            <c:spPr>
              <a:solidFill>
                <a:srgbClr val="00FF00"/>
              </a:solidFill>
              <a:ln>
                <a:solidFill>
                  <a:srgbClr val="000000"/>
                </a:solidFill>
                <a:prstDash val="solid"/>
              </a:ln>
            </c:spPr>
          </c:marker>
          <c:xVal>
            <c:numRef>
              <c:f>calculations!$M$31</c:f>
              <c:numCache>
                <c:formatCode>0.00</c:formatCode>
                <c:ptCount val="1"/>
                <c:pt idx="0">
                  <c:v>20</c:v>
                </c:pt>
              </c:numCache>
            </c:numRef>
          </c:xVal>
          <c:yVal>
            <c:numRef>
              <c:f>calculations!$M$30</c:f>
              <c:numCache>
                <c:formatCode>0.0000</c:formatCode>
                <c:ptCount val="1"/>
                <c:pt idx="0">
                  <c:v>0.19691</c:v>
                </c:pt>
              </c:numCache>
            </c:numRef>
          </c:yVal>
          <c:smooth val="0"/>
          <c:extLst>
            <c:ext xmlns:c16="http://schemas.microsoft.com/office/drawing/2014/chart" uri="{C3380CC4-5D6E-409C-BE32-E72D297353CC}">
              <c16:uniqueId val="{00000008-E822-4B01-BE9C-9979FB4F19D6}"/>
            </c:ext>
          </c:extLst>
        </c:ser>
        <c:ser>
          <c:idx val="8"/>
          <c:order val="8"/>
          <c:tx>
            <c:v>CD0</c:v>
          </c:tx>
          <c:spPr>
            <a:ln w="28575">
              <a:noFill/>
            </a:ln>
          </c:spPr>
          <c:marker>
            <c:symbol val="circle"/>
            <c:size val="8"/>
            <c:spPr>
              <a:solidFill>
                <a:srgbClr val="FFFFFF"/>
              </a:solidFill>
              <a:ln w="19050">
                <a:solidFill>
                  <a:srgbClr val="008000"/>
                </a:solidFill>
                <a:prstDash val="solid"/>
              </a:ln>
            </c:spPr>
          </c:marker>
          <c:xVal>
            <c:numRef>
              <c:f>calculations!$M$28</c:f>
              <c:numCache>
                <c:formatCode>0.0000</c:formatCode>
                <c:ptCount val="1"/>
                <c:pt idx="0">
                  <c:v>-1.4690721649484537</c:v>
                </c:pt>
              </c:numCache>
            </c:numRef>
          </c:xVal>
          <c:yVal>
            <c:numRef>
              <c:f>calculations!$K$28</c:f>
              <c:numCache>
                <c:formatCode>0.0000</c:formatCode>
                <c:ptCount val="1"/>
                <c:pt idx="0">
                  <c:v>7.6590206185567014E-3</c:v>
                </c:pt>
              </c:numCache>
            </c:numRef>
          </c:yVal>
          <c:smooth val="0"/>
          <c:extLst>
            <c:ext xmlns:c16="http://schemas.microsoft.com/office/drawing/2014/chart" uri="{C3380CC4-5D6E-409C-BE32-E72D297353CC}">
              <c16:uniqueId val="{00000009-E822-4B01-BE9C-9979FB4F19D6}"/>
            </c:ext>
          </c:extLst>
        </c:ser>
        <c:ser>
          <c:idx val="6"/>
          <c:order val="9"/>
          <c:tx>
            <c:v>CD original data</c:v>
          </c:tx>
          <c:spPr>
            <a:ln w="12700">
              <a:solidFill>
                <a:srgbClr val="008000"/>
              </a:solidFill>
              <a:prstDash val="solid"/>
            </a:ln>
          </c:spPr>
          <c:marker>
            <c:symbol val="circle"/>
            <c:size val="3"/>
            <c:spPr>
              <a:solidFill>
                <a:srgbClr val="008000"/>
              </a:solidFill>
              <a:ln>
                <a:solidFill>
                  <a:srgbClr val="008000"/>
                </a:solidFill>
                <a:prstDash val="solid"/>
              </a:ln>
            </c:spPr>
          </c:marker>
          <c:xVal>
            <c:numRef>
              <c:f>calculations!$F$37:$F$136</c:f>
              <c:numCache>
                <c:formatCode>General</c:formatCode>
                <c:ptCount val="100"/>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20</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calculations!$H$37:$H$136</c:f>
              <c:numCache>
                <c:formatCode>General</c:formatCode>
                <c:ptCount val="100"/>
                <c:pt idx="0">
                  <c:v>1.9709999999999998E-2</c:v>
                </c:pt>
                <c:pt idx="1">
                  <c:v>1.6709999999999999E-2</c:v>
                </c:pt>
                <c:pt idx="2">
                  <c:v>1.4970000000000001E-2</c:v>
                </c:pt>
                <c:pt idx="3">
                  <c:v>1.304E-2</c:v>
                </c:pt>
                <c:pt idx="4">
                  <c:v>1.166E-2</c:v>
                </c:pt>
                <c:pt idx="5">
                  <c:v>9.4500000000000001E-3</c:v>
                </c:pt>
                <c:pt idx="6">
                  <c:v>7.9299999999999995E-3</c:v>
                </c:pt>
                <c:pt idx="7">
                  <c:v>7.6299999999999996E-3</c:v>
                </c:pt>
                <c:pt idx="8">
                  <c:v>7.5900000000000004E-3</c:v>
                </c:pt>
                <c:pt idx="9">
                  <c:v>7.7200000000000003E-3</c:v>
                </c:pt>
                <c:pt idx="10">
                  <c:v>7.6400000000000001E-3</c:v>
                </c:pt>
                <c:pt idx="11">
                  <c:v>7.77E-3</c:v>
                </c:pt>
                <c:pt idx="12">
                  <c:v>7.8499999999999993E-3</c:v>
                </c:pt>
                <c:pt idx="13">
                  <c:v>8.0800000000000004E-3</c:v>
                </c:pt>
                <c:pt idx="14">
                  <c:v>8.26E-3</c:v>
                </c:pt>
                <c:pt idx="15">
                  <c:v>8.9499999999999996E-3</c:v>
                </c:pt>
                <c:pt idx="16">
                  <c:v>1.1169999999999999E-2</c:v>
                </c:pt>
                <c:pt idx="17">
                  <c:v>1.3339999999999999E-2</c:v>
                </c:pt>
                <c:pt idx="18">
                  <c:v>1.516E-2</c:v>
                </c:pt>
                <c:pt idx="19">
                  <c:v>1.7430000000000001E-2</c:v>
                </c:pt>
                <c:pt idx="20">
                  <c:v>2.0369999999999999E-2</c:v>
                </c:pt>
                <c:pt idx="21">
                  <c:v>2.4500000000000001E-2</c:v>
                </c:pt>
                <c:pt idx="22">
                  <c:v>2.9690000000000001E-2</c:v>
                </c:pt>
                <c:pt idx="23">
                  <c:v>3.5770000000000003E-2</c:v>
                </c:pt>
                <c:pt idx="24">
                  <c:v>4.2959999999999998E-2</c:v>
                </c:pt>
                <c:pt idx="25">
                  <c:v>5.1610000000000003E-2</c:v>
                </c:pt>
                <c:pt idx="26">
                  <c:v>6.2969999999999998E-2</c:v>
                </c:pt>
                <c:pt idx="27">
                  <c:v>7.8399999999999997E-2</c:v>
                </c:pt>
                <c:pt idx="28">
                  <c:v>0.10076</c:v>
                </c:pt>
                <c:pt idx="29">
                  <c:v>0.19691</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A-E822-4B01-BE9C-9979FB4F19D6}"/>
            </c:ext>
          </c:extLst>
        </c:ser>
        <c:dLbls>
          <c:showLegendKey val="0"/>
          <c:showVal val="0"/>
          <c:showCatName val="0"/>
          <c:showSerName val="0"/>
          <c:showPercent val="0"/>
          <c:showBubbleSize val="0"/>
        </c:dLbls>
        <c:axId val="3"/>
        <c:axId val="4"/>
      </c:scatterChart>
      <c:valAx>
        <c:axId val="199625200"/>
        <c:scaling>
          <c:orientation val="minMax"/>
          <c:max val="25"/>
          <c:min val="-15"/>
        </c:scaling>
        <c:delete val="0"/>
        <c:axPos val="b"/>
        <c:majorGridlines>
          <c:spPr>
            <a:ln w="3175">
              <a:solidFill>
                <a:srgbClr val="969696"/>
              </a:solidFill>
              <a:prstDash val="solid"/>
            </a:ln>
          </c:spPr>
        </c:majorGridlines>
        <c:numFmt formatCode="General" sourceLinked="1"/>
        <c:majorTickMark val="out"/>
        <c:minorTickMark val="none"/>
        <c:tickLblPos val="nextTo"/>
        <c:spPr>
          <a:ln w="6350">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majorUnit val="5"/>
      </c:valAx>
      <c:valAx>
        <c:axId val="1"/>
        <c:scaling>
          <c:orientation val="minMax"/>
          <c:max val="2.5"/>
          <c:min val="-1"/>
        </c:scaling>
        <c:delete val="0"/>
        <c:axPos val="l"/>
        <c:majorGridlines>
          <c:spPr>
            <a:ln w="3175">
              <a:solidFill>
                <a:srgbClr val="969696"/>
              </a:solidFill>
              <a:prstDash val="solid"/>
            </a:ln>
          </c:spPr>
        </c:majorGridlines>
        <c:numFmt formatCode="General" sourceLinked="1"/>
        <c:majorTickMark val="out"/>
        <c:minorTickMark val="none"/>
        <c:tickLblPos val="nextTo"/>
        <c:spPr>
          <a:ln w="6350">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99625200"/>
        <c:crosses val="autoZero"/>
        <c:crossBetween val="midCat"/>
        <c:majorUnit val="0.5"/>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scaling>
        <c:delete val="0"/>
        <c:axPos val="r"/>
        <c:numFmt formatCode="0.000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
        <c:crosses val="max"/>
        <c:crossBetween val="midCat"/>
      </c:valAx>
      <c:spPr>
        <a:solidFill>
          <a:srgbClr val="CCCCFF"/>
        </a:solidFill>
        <a:ln w="12700">
          <a:solidFill>
            <a:srgbClr val="808080"/>
          </a:solidFill>
          <a:prstDash val="solid"/>
        </a:ln>
      </c:spPr>
    </c:plotArea>
    <c:legend>
      <c:legendPos val="r"/>
      <c:layout>
        <c:manualLayout>
          <c:xMode val="edge"/>
          <c:yMode val="edge"/>
          <c:x val="1.7636684303350969E-2"/>
          <c:y val="3.5242290748898682E-2"/>
          <c:w val="0.28924217806107572"/>
          <c:h val="0.39867887659417023"/>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4946282429071163E-2"/>
          <c:y val="3.7369262322003355E-2"/>
          <c:w val="0.9260764843703857"/>
          <c:h val="0.92675770558568293"/>
        </c:manualLayout>
      </c:layout>
      <c:scatterChart>
        <c:scatterStyle val="lineMarker"/>
        <c:varyColors val="0"/>
        <c:ser>
          <c:idx val="2"/>
          <c:order val="0"/>
          <c:tx>
            <c:v>original CL data</c:v>
          </c:tx>
          <c:spPr>
            <a:ln w="28575">
              <a:noFill/>
            </a:ln>
          </c:spPr>
          <c:marker>
            <c:symbol val="circle"/>
            <c:size val="6"/>
            <c:spPr>
              <a:noFill/>
              <a:ln w="1270" cmpd="sng">
                <a:solidFill>
                  <a:srgbClr val="FF0000"/>
                </a:solidFill>
                <a:prstDash val="solid"/>
              </a:ln>
            </c:spPr>
          </c:marker>
          <c:xVal>
            <c:numRef>
              <c:f>calculations!$F$37:$F$136</c:f>
              <c:numCache>
                <c:formatCode>General</c:formatCode>
                <c:ptCount val="100"/>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20</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calculations!$G$37:$G$136</c:f>
              <c:numCache>
                <c:formatCode>General</c:formatCode>
                <c:ptCount val="100"/>
                <c:pt idx="0">
                  <c:v>-0.77410000000000001</c:v>
                </c:pt>
                <c:pt idx="1">
                  <c:v>-0.72460000000000002</c:v>
                </c:pt>
                <c:pt idx="2">
                  <c:v>-0.67400000000000004</c:v>
                </c:pt>
                <c:pt idx="3">
                  <c:v>-0.59370000000000001</c:v>
                </c:pt>
                <c:pt idx="4">
                  <c:v>-0.497</c:v>
                </c:pt>
                <c:pt idx="5">
                  <c:v>-0.39960000000000001</c:v>
                </c:pt>
                <c:pt idx="6">
                  <c:v>-0.29170000000000001</c:v>
                </c:pt>
                <c:pt idx="7">
                  <c:v>-0.17760000000000001</c:v>
                </c:pt>
                <c:pt idx="8">
                  <c:v>-6.1800000000000001E-2</c:v>
                </c:pt>
                <c:pt idx="9">
                  <c:v>5.4600000000000003E-2</c:v>
                </c:pt>
                <c:pt idx="10">
                  <c:v>0.1709</c:v>
                </c:pt>
                <c:pt idx="11">
                  <c:v>0.28710000000000002</c:v>
                </c:pt>
                <c:pt idx="12">
                  <c:v>0.40229999999999999</c:v>
                </c:pt>
                <c:pt idx="13">
                  <c:v>0.51619999999999999</c:v>
                </c:pt>
                <c:pt idx="14">
                  <c:v>0.62660000000000005</c:v>
                </c:pt>
                <c:pt idx="15">
                  <c:v>0.73280000000000001</c:v>
                </c:pt>
                <c:pt idx="16">
                  <c:v>0.81640000000000001</c:v>
                </c:pt>
                <c:pt idx="17">
                  <c:v>0.88560000000000005</c:v>
                </c:pt>
                <c:pt idx="18">
                  <c:v>0.92300000000000004</c:v>
                </c:pt>
                <c:pt idx="19">
                  <c:v>0.92859999999999998</c:v>
                </c:pt>
                <c:pt idx="20">
                  <c:v>0.9677</c:v>
                </c:pt>
                <c:pt idx="21">
                  <c:v>0.99050000000000005</c:v>
                </c:pt>
                <c:pt idx="22">
                  <c:v>1.0083</c:v>
                </c:pt>
                <c:pt idx="23">
                  <c:v>1.0244</c:v>
                </c:pt>
                <c:pt idx="24">
                  <c:v>1.0398000000000001</c:v>
                </c:pt>
                <c:pt idx="25">
                  <c:v>1.0492999999999999</c:v>
                </c:pt>
                <c:pt idx="26">
                  <c:v>1.0463</c:v>
                </c:pt>
                <c:pt idx="27">
                  <c:v>1.0257000000000001</c:v>
                </c:pt>
                <c:pt idx="28">
                  <c:v>0.97970000000000002</c:v>
                </c:pt>
                <c:pt idx="29">
                  <c:v>0.74750000000000005</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0-D1DA-453C-85BC-BD05C3C8DC55}"/>
            </c:ext>
          </c:extLst>
        </c:ser>
        <c:ser>
          <c:idx val="3"/>
          <c:order val="1"/>
          <c:tx>
            <c:v>original CD data</c:v>
          </c:tx>
          <c:spPr>
            <a:ln w="28575">
              <a:noFill/>
            </a:ln>
          </c:spPr>
          <c:marker>
            <c:symbol val="circle"/>
            <c:size val="6"/>
            <c:spPr>
              <a:noFill/>
              <a:ln w="1270">
                <a:solidFill>
                  <a:srgbClr val="008000"/>
                </a:solidFill>
                <a:prstDash val="solid"/>
              </a:ln>
            </c:spPr>
          </c:marker>
          <c:xVal>
            <c:numRef>
              <c:f>calculations!$F$37:$F$136</c:f>
              <c:numCache>
                <c:formatCode>General</c:formatCode>
                <c:ptCount val="100"/>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20</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calculations!$H$37:$H$136</c:f>
              <c:numCache>
                <c:formatCode>General</c:formatCode>
                <c:ptCount val="100"/>
                <c:pt idx="0">
                  <c:v>1.9709999999999998E-2</c:v>
                </c:pt>
                <c:pt idx="1">
                  <c:v>1.6709999999999999E-2</c:v>
                </c:pt>
                <c:pt idx="2">
                  <c:v>1.4970000000000001E-2</c:v>
                </c:pt>
                <c:pt idx="3">
                  <c:v>1.304E-2</c:v>
                </c:pt>
                <c:pt idx="4">
                  <c:v>1.166E-2</c:v>
                </c:pt>
                <c:pt idx="5">
                  <c:v>9.4500000000000001E-3</c:v>
                </c:pt>
                <c:pt idx="6">
                  <c:v>7.9299999999999995E-3</c:v>
                </c:pt>
                <c:pt idx="7">
                  <c:v>7.6299999999999996E-3</c:v>
                </c:pt>
                <c:pt idx="8">
                  <c:v>7.5900000000000004E-3</c:v>
                </c:pt>
                <c:pt idx="9">
                  <c:v>7.7200000000000003E-3</c:v>
                </c:pt>
                <c:pt idx="10">
                  <c:v>7.6400000000000001E-3</c:v>
                </c:pt>
                <c:pt idx="11">
                  <c:v>7.77E-3</c:v>
                </c:pt>
                <c:pt idx="12">
                  <c:v>7.8499999999999993E-3</c:v>
                </c:pt>
                <c:pt idx="13">
                  <c:v>8.0800000000000004E-3</c:v>
                </c:pt>
                <c:pt idx="14">
                  <c:v>8.26E-3</c:v>
                </c:pt>
                <c:pt idx="15">
                  <c:v>8.9499999999999996E-3</c:v>
                </c:pt>
                <c:pt idx="16">
                  <c:v>1.1169999999999999E-2</c:v>
                </c:pt>
                <c:pt idx="17">
                  <c:v>1.3339999999999999E-2</c:v>
                </c:pt>
                <c:pt idx="18">
                  <c:v>1.516E-2</c:v>
                </c:pt>
                <c:pt idx="19">
                  <c:v>1.7430000000000001E-2</c:v>
                </c:pt>
                <c:pt idx="20">
                  <c:v>2.0369999999999999E-2</c:v>
                </c:pt>
                <c:pt idx="21">
                  <c:v>2.4500000000000001E-2</c:v>
                </c:pt>
                <c:pt idx="22">
                  <c:v>2.9690000000000001E-2</c:v>
                </c:pt>
                <c:pt idx="23">
                  <c:v>3.5770000000000003E-2</c:v>
                </c:pt>
                <c:pt idx="24">
                  <c:v>4.2959999999999998E-2</c:v>
                </c:pt>
                <c:pt idx="25">
                  <c:v>5.1610000000000003E-2</c:v>
                </c:pt>
                <c:pt idx="26">
                  <c:v>6.2969999999999998E-2</c:v>
                </c:pt>
                <c:pt idx="27">
                  <c:v>7.8399999999999997E-2</c:v>
                </c:pt>
                <c:pt idx="28">
                  <c:v>0.10076</c:v>
                </c:pt>
                <c:pt idx="29">
                  <c:v>0.19691</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1-D1DA-453C-85BC-BD05C3C8DC55}"/>
            </c:ext>
          </c:extLst>
        </c:ser>
        <c:ser>
          <c:idx val="0"/>
          <c:order val="2"/>
          <c:tx>
            <c:v>AERODAS CL</c:v>
          </c:tx>
          <c:spPr>
            <a:ln w="12700">
              <a:solidFill>
                <a:srgbClr val="000080"/>
              </a:solidFill>
              <a:prstDash val="solid"/>
            </a:ln>
          </c:spPr>
          <c:marker>
            <c:symbol val="circle"/>
            <c:size val="3"/>
            <c:spPr>
              <a:solidFill>
                <a:srgbClr val="000080"/>
              </a:solidFill>
              <a:ln>
                <a:solidFill>
                  <a:srgbClr val="000080"/>
                </a:solidFill>
                <a:prstDash val="solid"/>
              </a:ln>
            </c:spPr>
          </c:marker>
          <c:xVal>
            <c:numRef>
              <c:f>calculations!$AA$36:$AA$246</c:f>
              <c:numCache>
                <c:formatCode>0.0</c:formatCode>
                <c:ptCount val="211"/>
                <c:pt idx="0">
                  <c:v>-30</c:v>
                </c:pt>
                <c:pt idx="1">
                  <c:v>-29</c:v>
                </c:pt>
                <c:pt idx="2">
                  <c:v>-28</c:v>
                </c:pt>
                <c:pt idx="3">
                  <c:v>-27</c:v>
                </c:pt>
                <c:pt idx="4">
                  <c:v>-26</c:v>
                </c:pt>
                <c:pt idx="5">
                  <c:v>-25</c:v>
                </c:pt>
                <c:pt idx="6">
                  <c:v>-24</c:v>
                </c:pt>
                <c:pt idx="7">
                  <c:v>-23</c:v>
                </c:pt>
                <c:pt idx="8">
                  <c:v>-22</c:v>
                </c:pt>
                <c:pt idx="9">
                  <c:v>-21</c:v>
                </c:pt>
                <c:pt idx="10">
                  <c:v>-20</c:v>
                </c:pt>
                <c:pt idx="11">
                  <c:v>-19</c:v>
                </c:pt>
                <c:pt idx="12">
                  <c:v>-18</c:v>
                </c:pt>
                <c:pt idx="13">
                  <c:v>-17</c:v>
                </c:pt>
                <c:pt idx="14">
                  <c:v>-16</c:v>
                </c:pt>
                <c:pt idx="15">
                  <c:v>-15</c:v>
                </c:pt>
                <c:pt idx="16">
                  <c:v>-14</c:v>
                </c:pt>
                <c:pt idx="17">
                  <c:v>-13</c:v>
                </c:pt>
                <c:pt idx="18">
                  <c:v>-12</c:v>
                </c:pt>
                <c:pt idx="19">
                  <c:v>-11</c:v>
                </c:pt>
                <c:pt idx="20">
                  <c:v>-10</c:v>
                </c:pt>
                <c:pt idx="21">
                  <c:v>-9</c:v>
                </c:pt>
                <c:pt idx="22">
                  <c:v>-8</c:v>
                </c:pt>
                <c:pt idx="23">
                  <c:v>-7</c:v>
                </c:pt>
                <c:pt idx="24">
                  <c:v>-6</c:v>
                </c:pt>
                <c:pt idx="25">
                  <c:v>-5</c:v>
                </c:pt>
                <c:pt idx="26">
                  <c:v>-4</c:v>
                </c:pt>
                <c:pt idx="27">
                  <c:v>-3</c:v>
                </c:pt>
                <c:pt idx="28">
                  <c:v>-2</c:v>
                </c:pt>
                <c:pt idx="29">
                  <c:v>-1</c:v>
                </c:pt>
                <c:pt idx="30">
                  <c:v>0</c:v>
                </c:pt>
                <c:pt idx="31">
                  <c:v>1</c:v>
                </c:pt>
                <c:pt idx="32">
                  <c:v>2</c:v>
                </c:pt>
                <c:pt idx="33">
                  <c:v>3</c:v>
                </c:pt>
                <c:pt idx="34">
                  <c:v>4</c:v>
                </c:pt>
                <c:pt idx="35">
                  <c:v>5</c:v>
                </c:pt>
                <c:pt idx="36">
                  <c:v>6</c:v>
                </c:pt>
                <c:pt idx="37">
                  <c:v>7</c:v>
                </c:pt>
                <c:pt idx="38">
                  <c:v>8</c:v>
                </c:pt>
                <c:pt idx="39">
                  <c:v>9</c:v>
                </c:pt>
                <c:pt idx="40">
                  <c:v>10</c:v>
                </c:pt>
                <c:pt idx="41">
                  <c:v>11</c:v>
                </c:pt>
                <c:pt idx="42">
                  <c:v>12</c:v>
                </c:pt>
                <c:pt idx="43">
                  <c:v>13</c:v>
                </c:pt>
                <c:pt idx="44">
                  <c:v>14</c:v>
                </c:pt>
                <c:pt idx="45">
                  <c:v>15</c:v>
                </c:pt>
                <c:pt idx="46">
                  <c:v>16</c:v>
                </c:pt>
                <c:pt idx="47">
                  <c:v>17</c:v>
                </c:pt>
                <c:pt idx="48">
                  <c:v>18</c:v>
                </c:pt>
                <c:pt idx="49">
                  <c:v>19</c:v>
                </c:pt>
                <c:pt idx="50">
                  <c:v>20</c:v>
                </c:pt>
                <c:pt idx="51">
                  <c:v>21</c:v>
                </c:pt>
                <c:pt idx="52">
                  <c:v>22</c:v>
                </c:pt>
                <c:pt idx="53">
                  <c:v>23</c:v>
                </c:pt>
                <c:pt idx="54">
                  <c:v>24</c:v>
                </c:pt>
                <c:pt idx="55">
                  <c:v>25</c:v>
                </c:pt>
                <c:pt idx="56">
                  <c:v>26</c:v>
                </c:pt>
                <c:pt idx="57">
                  <c:v>27</c:v>
                </c:pt>
                <c:pt idx="58">
                  <c:v>28</c:v>
                </c:pt>
                <c:pt idx="59">
                  <c:v>29</c:v>
                </c:pt>
                <c:pt idx="60">
                  <c:v>30</c:v>
                </c:pt>
                <c:pt idx="61">
                  <c:v>31</c:v>
                </c:pt>
                <c:pt idx="62">
                  <c:v>32</c:v>
                </c:pt>
                <c:pt idx="63">
                  <c:v>33</c:v>
                </c:pt>
                <c:pt idx="64">
                  <c:v>34</c:v>
                </c:pt>
                <c:pt idx="65">
                  <c:v>35</c:v>
                </c:pt>
                <c:pt idx="66">
                  <c:v>36</c:v>
                </c:pt>
                <c:pt idx="67">
                  <c:v>37</c:v>
                </c:pt>
                <c:pt idx="68">
                  <c:v>38</c:v>
                </c:pt>
                <c:pt idx="69">
                  <c:v>39</c:v>
                </c:pt>
                <c:pt idx="70">
                  <c:v>40</c:v>
                </c:pt>
                <c:pt idx="71">
                  <c:v>41</c:v>
                </c:pt>
                <c:pt idx="72">
                  <c:v>42</c:v>
                </c:pt>
                <c:pt idx="73">
                  <c:v>43</c:v>
                </c:pt>
                <c:pt idx="74">
                  <c:v>44</c:v>
                </c:pt>
                <c:pt idx="75">
                  <c:v>45</c:v>
                </c:pt>
                <c:pt idx="76">
                  <c:v>46</c:v>
                </c:pt>
                <c:pt idx="77">
                  <c:v>47</c:v>
                </c:pt>
                <c:pt idx="78">
                  <c:v>48</c:v>
                </c:pt>
                <c:pt idx="79">
                  <c:v>49</c:v>
                </c:pt>
                <c:pt idx="80">
                  <c:v>50</c:v>
                </c:pt>
                <c:pt idx="81">
                  <c:v>51</c:v>
                </c:pt>
                <c:pt idx="82">
                  <c:v>52</c:v>
                </c:pt>
                <c:pt idx="83">
                  <c:v>53</c:v>
                </c:pt>
                <c:pt idx="84">
                  <c:v>54</c:v>
                </c:pt>
                <c:pt idx="85">
                  <c:v>55</c:v>
                </c:pt>
                <c:pt idx="86">
                  <c:v>56</c:v>
                </c:pt>
                <c:pt idx="87">
                  <c:v>57</c:v>
                </c:pt>
                <c:pt idx="88">
                  <c:v>58</c:v>
                </c:pt>
                <c:pt idx="89">
                  <c:v>59</c:v>
                </c:pt>
                <c:pt idx="90">
                  <c:v>60</c:v>
                </c:pt>
                <c:pt idx="91">
                  <c:v>61</c:v>
                </c:pt>
                <c:pt idx="92">
                  <c:v>62</c:v>
                </c:pt>
                <c:pt idx="93">
                  <c:v>63</c:v>
                </c:pt>
                <c:pt idx="94">
                  <c:v>64</c:v>
                </c:pt>
                <c:pt idx="95">
                  <c:v>65</c:v>
                </c:pt>
                <c:pt idx="96">
                  <c:v>66</c:v>
                </c:pt>
                <c:pt idx="97">
                  <c:v>67</c:v>
                </c:pt>
                <c:pt idx="98">
                  <c:v>68</c:v>
                </c:pt>
                <c:pt idx="99">
                  <c:v>69</c:v>
                </c:pt>
                <c:pt idx="100">
                  <c:v>70</c:v>
                </c:pt>
                <c:pt idx="101">
                  <c:v>71</c:v>
                </c:pt>
                <c:pt idx="102">
                  <c:v>72</c:v>
                </c:pt>
                <c:pt idx="103">
                  <c:v>73</c:v>
                </c:pt>
                <c:pt idx="104">
                  <c:v>74</c:v>
                </c:pt>
                <c:pt idx="105">
                  <c:v>75</c:v>
                </c:pt>
                <c:pt idx="106">
                  <c:v>76</c:v>
                </c:pt>
                <c:pt idx="107">
                  <c:v>77</c:v>
                </c:pt>
                <c:pt idx="108">
                  <c:v>78</c:v>
                </c:pt>
                <c:pt idx="109">
                  <c:v>79</c:v>
                </c:pt>
                <c:pt idx="110">
                  <c:v>80</c:v>
                </c:pt>
                <c:pt idx="111">
                  <c:v>81</c:v>
                </c:pt>
                <c:pt idx="112">
                  <c:v>82</c:v>
                </c:pt>
                <c:pt idx="113">
                  <c:v>83</c:v>
                </c:pt>
                <c:pt idx="114">
                  <c:v>84</c:v>
                </c:pt>
                <c:pt idx="115">
                  <c:v>85</c:v>
                </c:pt>
                <c:pt idx="116">
                  <c:v>86</c:v>
                </c:pt>
                <c:pt idx="117">
                  <c:v>87</c:v>
                </c:pt>
                <c:pt idx="118">
                  <c:v>88</c:v>
                </c:pt>
                <c:pt idx="119">
                  <c:v>89</c:v>
                </c:pt>
                <c:pt idx="120">
                  <c:v>90</c:v>
                </c:pt>
                <c:pt idx="121">
                  <c:v>91</c:v>
                </c:pt>
                <c:pt idx="122">
                  <c:v>92</c:v>
                </c:pt>
                <c:pt idx="123">
                  <c:v>93</c:v>
                </c:pt>
                <c:pt idx="124">
                  <c:v>94</c:v>
                </c:pt>
                <c:pt idx="125">
                  <c:v>95</c:v>
                </c:pt>
                <c:pt idx="126">
                  <c:v>96</c:v>
                </c:pt>
                <c:pt idx="127">
                  <c:v>97</c:v>
                </c:pt>
                <c:pt idx="128">
                  <c:v>98</c:v>
                </c:pt>
                <c:pt idx="129">
                  <c:v>99</c:v>
                </c:pt>
                <c:pt idx="130">
                  <c:v>100</c:v>
                </c:pt>
                <c:pt idx="131">
                  <c:v>101</c:v>
                </c:pt>
                <c:pt idx="132">
                  <c:v>102</c:v>
                </c:pt>
                <c:pt idx="133">
                  <c:v>103</c:v>
                </c:pt>
                <c:pt idx="134">
                  <c:v>104</c:v>
                </c:pt>
                <c:pt idx="135">
                  <c:v>105</c:v>
                </c:pt>
                <c:pt idx="136">
                  <c:v>106</c:v>
                </c:pt>
                <c:pt idx="137">
                  <c:v>107</c:v>
                </c:pt>
                <c:pt idx="138">
                  <c:v>108</c:v>
                </c:pt>
                <c:pt idx="139">
                  <c:v>109</c:v>
                </c:pt>
                <c:pt idx="140">
                  <c:v>110</c:v>
                </c:pt>
                <c:pt idx="141">
                  <c:v>111</c:v>
                </c:pt>
                <c:pt idx="142">
                  <c:v>112</c:v>
                </c:pt>
                <c:pt idx="143">
                  <c:v>113</c:v>
                </c:pt>
                <c:pt idx="144">
                  <c:v>114</c:v>
                </c:pt>
                <c:pt idx="145">
                  <c:v>115</c:v>
                </c:pt>
                <c:pt idx="146">
                  <c:v>116</c:v>
                </c:pt>
                <c:pt idx="147">
                  <c:v>117</c:v>
                </c:pt>
                <c:pt idx="148">
                  <c:v>118</c:v>
                </c:pt>
                <c:pt idx="149">
                  <c:v>119</c:v>
                </c:pt>
                <c:pt idx="150">
                  <c:v>120</c:v>
                </c:pt>
              </c:numCache>
            </c:numRef>
          </c:xVal>
          <c:yVal>
            <c:numRef>
              <c:f>calculations!$AF$36:$AF$246</c:f>
              <c:numCache>
                <c:formatCode>0.0000</c:formatCode>
                <c:ptCount val="211"/>
                <c:pt idx="0">
                  <c:v>-0.99085968510169342</c:v>
                </c:pt>
                <c:pt idx="1">
                  <c:v>-0.96345561478841524</c:v>
                </c:pt>
                <c:pt idx="2">
                  <c:v>-0.9337734938415424</c:v>
                </c:pt>
                <c:pt idx="3">
                  <c:v>-0.90176195684545302</c:v>
                </c:pt>
                <c:pt idx="4">
                  <c:v>-0.86736926761633448</c:v>
                </c:pt>
                <c:pt idx="5">
                  <c:v>-0.8305433220428069</c:v>
                </c:pt>
                <c:pt idx="6">
                  <c:v>-0.79123165086373159</c:v>
                </c:pt>
                <c:pt idx="7">
                  <c:v>-0.74938142238548788</c:v>
                </c:pt>
                <c:pt idx="8">
                  <c:v>-0.77908410312343634</c:v>
                </c:pt>
                <c:pt idx="9">
                  <c:v>-0.87675731802263823</c:v>
                </c:pt>
                <c:pt idx="10">
                  <c:v>-0.95482073191819605</c:v>
                </c:pt>
                <c:pt idx="11">
                  <c:v>-1.0141687832373936</c:v>
                </c:pt>
                <c:pt idx="12">
                  <c:v>-1.0557013285198014</c:v>
                </c:pt>
                <c:pt idx="13">
                  <c:v>-1.0803239878809179</c:v>
                </c:pt>
                <c:pt idx="14">
                  <c:v>-1.088948534913883</c:v>
                </c:pt>
                <c:pt idx="15">
                  <c:v>-1.0824933400109074</c:v>
                </c:pt>
                <c:pt idx="16">
                  <c:v>-1.0618838786553706</c:v>
                </c:pt>
                <c:pt idx="17">
                  <c:v>-1.0280533197887629</c:v>
                </c:pt>
                <c:pt idx="18">
                  <c:v>-0.98194321438167642</c:v>
                </c:pt>
                <c:pt idx="19">
                  <c:v>-0.92450431163011815</c:v>
                </c:pt>
                <c:pt idx="20">
                  <c:v>-0.85669754110285601</c:v>
                </c:pt>
                <c:pt idx="21">
                  <c:v>-0.77949521606029404</c:v>
                </c:pt>
                <c:pt idx="22">
                  <c:v>-0.69388254047973918</c:v>
                </c:pt>
                <c:pt idx="23">
                  <c:v>-0.60085954884677772</c:v>
                </c:pt>
                <c:pt idx="24">
                  <c:v>-0.50144369239516851</c:v>
                </c:pt>
                <c:pt idx="25">
                  <c:v>-0.39667345314522073</c:v>
                </c:pt>
                <c:pt idx="26">
                  <c:v>-0.28761374065938949</c:v>
                </c:pt>
                <c:pt idx="27">
                  <c:v>-0.17536481742902313</c:v>
                </c:pt>
                <c:pt idx="28">
                  <c:v>-6.1080066025808351E-2</c:v>
                </c:pt>
                <c:pt idx="29">
                  <c:v>5.3971538869055161E-2</c:v>
                </c:pt>
                <c:pt idx="30">
                  <c:v>0.16834250284379937</c:v>
                </c:pt>
                <c:pt idx="31">
                  <c:v>0.28075151377903645</c:v>
                </c:pt>
                <c:pt idx="32">
                  <c:v>0.39004084983101123</c:v>
                </c:pt>
                <c:pt idx="33">
                  <c:v>0.49510762394530006</c:v>
                </c:pt>
                <c:pt idx="34">
                  <c:v>0.59488505038798334</c:v>
                </c:pt>
                <c:pt idx="35">
                  <c:v>0.68833319341068389</c:v>
                </c:pt>
                <c:pt idx="36">
                  <c:v>0.77443341920317077</c:v>
                </c:pt>
                <c:pt idx="37">
                  <c:v>0.85218469917568718</c:v>
                </c:pt>
                <c:pt idx="38">
                  <c:v>0.92060097362651672</c:v>
                </c:pt>
                <c:pt idx="39">
                  <c:v>0.97870917933590451</c:v>
                </c:pt>
                <c:pt idx="40">
                  <c:v>1.02554772014067</c:v>
                </c:pt>
                <c:pt idx="41">
                  <c:v>1.0601652475814396</c:v>
                </c:pt>
                <c:pt idx="42">
                  <c:v>1.0816196668932676</c:v>
                </c:pt>
                <c:pt idx="43">
                  <c:v>1.0889773117936195</c:v>
                </c:pt>
                <c:pt idx="44">
                  <c:v>1.0813122489031111</c:v>
                </c:pt>
                <c:pt idx="45">
                  <c:v>1.057705683825966</c:v>
                </c:pt>
                <c:pt idx="46">
                  <c:v>1.0172454483861104</c:v>
                </c:pt>
                <c:pt idx="47">
                  <c:v>0.95902555365290532</c:v>
                </c:pt>
                <c:pt idx="48">
                  <c:v>0.88214579701824269</c:v>
                </c:pt>
                <c:pt idx="49">
                  <c:v>0.78571141420655533</c:v>
                </c:pt>
                <c:pt idx="50">
                  <c:v>0.74678302311533806</c:v>
                </c:pt>
                <c:pt idx="51">
                  <c:v>0.78879047798276014</c:v>
                </c:pt>
                <c:pt idx="52">
                  <c:v>0.82825610622513279</c:v>
                </c:pt>
                <c:pt idx="53">
                  <c:v>0.8652327619441984</c:v>
                </c:pt>
                <c:pt idx="54">
                  <c:v>0.89977293697706529</c:v>
                </c:pt>
                <c:pt idx="55">
                  <c:v>0.93192875818266652</c:v>
                </c:pt>
                <c:pt idx="56">
                  <c:v>0.9617519846678273</c:v>
                </c:pt>
                <c:pt idx="57">
                  <c:v>0.98929400495066577</c:v>
                </c:pt>
                <c:pt idx="58">
                  <c:v>1.0146058340589488</c:v>
                </c:pt>
                <c:pt idx="59">
                  <c:v>1.0377381105609009</c:v>
                </c:pt>
                <c:pt idx="60">
                  <c:v>1.0587410935258013</c:v>
                </c:pt>
                <c:pt idx="61">
                  <c:v>1.0776646594115793</c:v>
                </c:pt>
                <c:pt idx="62">
                  <c:v>1.0945582988764602</c:v>
                </c:pt>
                <c:pt idx="63">
                  <c:v>1.1094711135115221</c:v>
                </c:pt>
                <c:pt idx="64">
                  <c:v>1.122451812490868</c:v>
                </c:pt>
                <c:pt idx="65">
                  <c:v>1.1335487091359027</c:v>
                </c:pt>
                <c:pt idx="66">
                  <c:v>1.1428097173900054</c:v>
                </c:pt>
                <c:pt idx="67">
                  <c:v>1.1502823481996449</c:v>
                </c:pt>
                <c:pt idx="68">
                  <c:v>1.1560137057977522</c:v>
                </c:pt>
                <c:pt idx="69">
                  <c:v>1.1600504838848917</c:v>
                </c:pt>
                <c:pt idx="70">
                  <c:v>1.1624389617034816</c:v>
                </c:pt>
                <c:pt idx="71">
                  <c:v>1.1632250000000002</c:v>
                </c:pt>
                <c:pt idx="72">
                  <c:v>1.162454036869784</c:v>
                </c:pt>
                <c:pt idx="73">
                  <c:v>1.1601710834786294</c:v>
                </c:pt>
                <c:pt idx="74">
                  <c:v>1.1564207196550331</c:v>
                </c:pt>
                <c:pt idx="75">
                  <c:v>1.1512470893464428</c:v>
                </c:pt>
                <c:pt idx="76">
                  <c:v>1.144693895932416</c:v>
                </c:pt>
                <c:pt idx="77">
                  <c:v>1.1368043973870554</c:v>
                </c:pt>
                <c:pt idx="78">
                  <c:v>1.1276214012825068</c:v>
                </c:pt>
                <c:pt idx="79">
                  <c:v>1.1171872596246619</c:v>
                </c:pt>
                <c:pt idx="80">
                  <c:v>1.1055438635115113</c:v>
                </c:pt>
                <c:pt idx="81">
                  <c:v>1.0927326376038102</c:v>
                </c:pt>
                <c:pt idx="82">
                  <c:v>1.0787945343968564</c:v>
                </c:pt>
                <c:pt idx="83">
                  <c:v>1.063770028281225</c:v>
                </c:pt>
                <c:pt idx="84">
                  <c:v>1.0476991093792454</c:v>
                </c:pt>
                <c:pt idx="85">
                  <c:v>1.0306212771428074</c:v>
                </c:pt>
                <c:pt idx="86">
                  <c:v>1.0125755336967699</c:v>
                </c:pt>
                <c:pt idx="87">
                  <c:v>0.99360037691074854</c:v>
                </c:pt>
                <c:pt idx="88">
                  <c:v>0.97373379318038933</c:v>
                </c:pt>
                <c:pt idx="89">
                  <c:v>0.9530132498973416</c:v>
                </c:pt>
                <c:pt idx="90">
                  <c:v>0.93147568758500987</c:v>
                </c:pt>
                <c:pt idx="91">
                  <c:v>0.90915751167473269</c:v>
                </c:pt>
                <c:pt idx="92">
                  <c:v>0.8860945838942621</c:v>
                </c:pt>
                <c:pt idx="93">
                  <c:v>0.86232221323725156</c:v>
                </c:pt>
                <c:pt idx="94">
                  <c:v>0.83787514647880335</c:v>
                </c:pt>
                <c:pt idx="95">
                  <c:v>0.81278755819792381</c:v>
                </c:pt>
                <c:pt idx="96">
                  <c:v>0.78709304026283711</c:v>
                </c:pt>
                <c:pt idx="97">
                  <c:v>0.76082459072941278</c:v>
                </c:pt>
                <c:pt idx="98">
                  <c:v>0.73401460209627489</c:v>
                </c:pt>
                <c:pt idx="99">
                  <c:v>0.70669484885227241</c:v>
                </c:pt>
                <c:pt idx="100">
                  <c:v>0.67889647424263244</c:v>
                </c:pt>
                <c:pt idx="101">
                  <c:v>0.65064997616892783</c:v>
                </c:pt>
                <c:pt idx="102">
                  <c:v>0.62198519212452108</c:v>
                </c:pt>
                <c:pt idx="103">
                  <c:v>0.59293128305080445</c:v>
                </c:pt>
                <c:pt idx="104">
                  <c:v>0.56351671597953534</c:v>
                </c:pt>
                <c:pt idx="105">
                  <c:v>0.53376924530183911</c:v>
                </c:pt>
                <c:pt idx="106">
                  <c:v>0.50371589247354531</c:v>
                </c:pt>
                <c:pt idx="107">
                  <c:v>0.47338292392748305</c:v>
                </c:pt>
                <c:pt idx="108">
                  <c:v>0.44279582691337016</c:v>
                </c:pt>
                <c:pt idx="109">
                  <c:v>0.41197928292100922</c:v>
                </c:pt>
                <c:pt idx="110">
                  <c:v>0.38095713825679622</c:v>
                </c:pt>
                <c:pt idx="111">
                  <c:v>0.34975237122828412</c:v>
                </c:pt>
                <c:pt idx="112">
                  <c:v>0.31838705523322847</c:v>
                </c:pt>
                <c:pt idx="113">
                  <c:v>0.28688231682668475</c:v>
                </c:pt>
                <c:pt idx="114">
                  <c:v>0.25525828751688462</c:v>
                </c:pt>
                <c:pt idx="115">
                  <c:v>0.22353404755668371</c:v>
                </c:pt>
                <c:pt idx="116">
                  <c:v>0.19172755924134</c:v>
                </c:pt>
                <c:pt idx="117">
                  <c:v>0.15985558598023147</c:v>
                </c:pt>
                <c:pt idx="118">
                  <c:v>0.12793359122804088</c:v>
                </c:pt>
                <c:pt idx="119">
                  <c:v>9.5975607183880429E-2</c:v>
                </c:pt>
                <c:pt idx="120">
                  <c:v>6.3994054131360181E-2</c:v>
                </c:pt>
                <c:pt idx="121">
                  <c:v>3.1999467640300538E-2</c:v>
                </c:pt>
                <c:pt idx="122">
                  <c:v>0</c:v>
                </c:pt>
                <c:pt idx="123">
                  <c:v>-3.1999467640300538E-2</c:v>
                </c:pt>
                <c:pt idx="124">
                  <c:v>-6.3994054131360181E-2</c:v>
                </c:pt>
                <c:pt idx="125">
                  <c:v>-9.5975607183880429E-2</c:v>
                </c:pt>
                <c:pt idx="126">
                  <c:v>-0.12793359122804088</c:v>
                </c:pt>
                <c:pt idx="127">
                  <c:v>-0.15985558598023147</c:v>
                </c:pt>
                <c:pt idx="128">
                  <c:v>-0.19172755924134</c:v>
                </c:pt>
                <c:pt idx="129">
                  <c:v>-0.22353404755668371</c:v>
                </c:pt>
                <c:pt idx="130">
                  <c:v>-0.25525828751688462</c:v>
                </c:pt>
                <c:pt idx="131">
                  <c:v>-0.28688231682668475</c:v>
                </c:pt>
                <c:pt idx="132">
                  <c:v>-0.31838705523322847</c:v>
                </c:pt>
                <c:pt idx="133">
                  <c:v>-0.34975237122828412</c:v>
                </c:pt>
                <c:pt idx="134">
                  <c:v>-0.38095713825679622</c:v>
                </c:pt>
                <c:pt idx="135">
                  <c:v>-0.41197928292100922</c:v>
                </c:pt>
                <c:pt idx="136">
                  <c:v>-0.44279582691337016</c:v>
                </c:pt>
                <c:pt idx="137">
                  <c:v>-0.47338292392748305</c:v>
                </c:pt>
                <c:pt idx="138">
                  <c:v>-0.50371589247354531</c:v>
                </c:pt>
                <c:pt idx="139">
                  <c:v>-0.53376924530183911</c:v>
                </c:pt>
                <c:pt idx="140">
                  <c:v>-0.56351671597953534</c:v>
                </c:pt>
                <c:pt idx="141">
                  <c:v>-0.59293128305080445</c:v>
                </c:pt>
                <c:pt idx="142">
                  <c:v>-0.62198519212452108</c:v>
                </c:pt>
                <c:pt idx="143">
                  <c:v>-0.65064997616892783</c:v>
                </c:pt>
                <c:pt idx="144">
                  <c:v>-0.67889647424263244</c:v>
                </c:pt>
                <c:pt idx="145">
                  <c:v>-0.70669484885227241</c:v>
                </c:pt>
                <c:pt idx="146">
                  <c:v>-0.73401460209627489</c:v>
                </c:pt>
                <c:pt idx="147">
                  <c:v>-0.76082459072941278</c:v>
                </c:pt>
                <c:pt idx="148">
                  <c:v>-0.78709304026283711</c:v>
                </c:pt>
                <c:pt idx="149">
                  <c:v>-0.81278755819792381</c:v>
                </c:pt>
                <c:pt idx="150">
                  <c:v>-0.83787514647880335</c:v>
                </c:pt>
              </c:numCache>
            </c:numRef>
          </c:yVal>
          <c:smooth val="0"/>
          <c:extLst>
            <c:ext xmlns:c16="http://schemas.microsoft.com/office/drawing/2014/chart" uri="{C3380CC4-5D6E-409C-BE32-E72D297353CC}">
              <c16:uniqueId val="{00000002-D1DA-453C-85BC-BD05C3C8DC55}"/>
            </c:ext>
          </c:extLst>
        </c:ser>
        <c:ser>
          <c:idx val="1"/>
          <c:order val="3"/>
          <c:tx>
            <c:v>AERODAS CD</c:v>
          </c:tx>
          <c:spPr>
            <a:ln w="12700">
              <a:solidFill>
                <a:srgbClr val="FF00FF"/>
              </a:solidFill>
              <a:prstDash val="solid"/>
            </a:ln>
          </c:spPr>
          <c:marker>
            <c:symbol val="circle"/>
            <c:size val="3"/>
            <c:spPr>
              <a:solidFill>
                <a:srgbClr val="FF00FF"/>
              </a:solidFill>
              <a:ln>
                <a:solidFill>
                  <a:srgbClr val="FF00FF"/>
                </a:solidFill>
                <a:prstDash val="solid"/>
              </a:ln>
            </c:spPr>
          </c:marker>
          <c:xVal>
            <c:numRef>
              <c:f>calculations!$AA$36:$AA$246</c:f>
              <c:numCache>
                <c:formatCode>0.0</c:formatCode>
                <c:ptCount val="211"/>
                <c:pt idx="0">
                  <c:v>-30</c:v>
                </c:pt>
                <c:pt idx="1">
                  <c:v>-29</c:v>
                </c:pt>
                <c:pt idx="2">
                  <c:v>-28</c:v>
                </c:pt>
                <c:pt idx="3">
                  <c:v>-27</c:v>
                </c:pt>
                <c:pt idx="4">
                  <c:v>-26</c:v>
                </c:pt>
                <c:pt idx="5">
                  <c:v>-25</c:v>
                </c:pt>
                <c:pt idx="6">
                  <c:v>-24</c:v>
                </c:pt>
                <c:pt idx="7">
                  <c:v>-23</c:v>
                </c:pt>
                <c:pt idx="8">
                  <c:v>-22</c:v>
                </c:pt>
                <c:pt idx="9">
                  <c:v>-21</c:v>
                </c:pt>
                <c:pt idx="10">
                  <c:v>-20</c:v>
                </c:pt>
                <c:pt idx="11">
                  <c:v>-19</c:v>
                </c:pt>
                <c:pt idx="12">
                  <c:v>-18</c:v>
                </c:pt>
                <c:pt idx="13">
                  <c:v>-17</c:v>
                </c:pt>
                <c:pt idx="14">
                  <c:v>-16</c:v>
                </c:pt>
                <c:pt idx="15">
                  <c:v>-15</c:v>
                </c:pt>
                <c:pt idx="16">
                  <c:v>-14</c:v>
                </c:pt>
                <c:pt idx="17">
                  <c:v>-13</c:v>
                </c:pt>
                <c:pt idx="18">
                  <c:v>-12</c:v>
                </c:pt>
                <c:pt idx="19">
                  <c:v>-11</c:v>
                </c:pt>
                <c:pt idx="20">
                  <c:v>-10</c:v>
                </c:pt>
                <c:pt idx="21">
                  <c:v>-9</c:v>
                </c:pt>
                <c:pt idx="22">
                  <c:v>-8</c:v>
                </c:pt>
                <c:pt idx="23">
                  <c:v>-7</c:v>
                </c:pt>
                <c:pt idx="24">
                  <c:v>-6</c:v>
                </c:pt>
                <c:pt idx="25">
                  <c:v>-5</c:v>
                </c:pt>
                <c:pt idx="26">
                  <c:v>-4</c:v>
                </c:pt>
                <c:pt idx="27">
                  <c:v>-3</c:v>
                </c:pt>
                <c:pt idx="28">
                  <c:v>-2</c:v>
                </c:pt>
                <c:pt idx="29">
                  <c:v>-1</c:v>
                </c:pt>
                <c:pt idx="30">
                  <c:v>0</c:v>
                </c:pt>
                <c:pt idx="31">
                  <c:v>1</c:v>
                </c:pt>
                <c:pt idx="32">
                  <c:v>2</c:v>
                </c:pt>
                <c:pt idx="33">
                  <c:v>3</c:v>
                </c:pt>
                <c:pt idx="34">
                  <c:v>4</c:v>
                </c:pt>
                <c:pt idx="35">
                  <c:v>5</c:v>
                </c:pt>
                <c:pt idx="36">
                  <c:v>6</c:v>
                </c:pt>
                <c:pt idx="37">
                  <c:v>7</c:v>
                </c:pt>
                <c:pt idx="38">
                  <c:v>8</c:v>
                </c:pt>
                <c:pt idx="39">
                  <c:v>9</c:v>
                </c:pt>
                <c:pt idx="40">
                  <c:v>10</c:v>
                </c:pt>
                <c:pt idx="41">
                  <c:v>11</c:v>
                </c:pt>
                <c:pt idx="42">
                  <c:v>12</c:v>
                </c:pt>
                <c:pt idx="43">
                  <c:v>13</c:v>
                </c:pt>
                <c:pt idx="44">
                  <c:v>14</c:v>
                </c:pt>
                <c:pt idx="45">
                  <c:v>15</c:v>
                </c:pt>
                <c:pt idx="46">
                  <c:v>16</c:v>
                </c:pt>
                <c:pt idx="47">
                  <c:v>17</c:v>
                </c:pt>
                <c:pt idx="48">
                  <c:v>18</c:v>
                </c:pt>
                <c:pt idx="49">
                  <c:v>19</c:v>
                </c:pt>
                <c:pt idx="50">
                  <c:v>20</c:v>
                </c:pt>
                <c:pt idx="51">
                  <c:v>21</c:v>
                </c:pt>
                <c:pt idx="52">
                  <c:v>22</c:v>
                </c:pt>
                <c:pt idx="53">
                  <c:v>23</c:v>
                </c:pt>
                <c:pt idx="54">
                  <c:v>24</c:v>
                </c:pt>
                <c:pt idx="55">
                  <c:v>25</c:v>
                </c:pt>
                <c:pt idx="56">
                  <c:v>26</c:v>
                </c:pt>
                <c:pt idx="57">
                  <c:v>27</c:v>
                </c:pt>
                <c:pt idx="58">
                  <c:v>28</c:v>
                </c:pt>
                <c:pt idx="59">
                  <c:v>29</c:v>
                </c:pt>
                <c:pt idx="60">
                  <c:v>30</c:v>
                </c:pt>
                <c:pt idx="61">
                  <c:v>31</c:v>
                </c:pt>
                <c:pt idx="62">
                  <c:v>32</c:v>
                </c:pt>
                <c:pt idx="63">
                  <c:v>33</c:v>
                </c:pt>
                <c:pt idx="64">
                  <c:v>34</c:v>
                </c:pt>
                <c:pt idx="65">
                  <c:v>35</c:v>
                </c:pt>
                <c:pt idx="66">
                  <c:v>36</c:v>
                </c:pt>
                <c:pt idx="67">
                  <c:v>37</c:v>
                </c:pt>
                <c:pt idx="68">
                  <c:v>38</c:v>
                </c:pt>
                <c:pt idx="69">
                  <c:v>39</c:v>
                </c:pt>
                <c:pt idx="70">
                  <c:v>40</c:v>
                </c:pt>
                <c:pt idx="71">
                  <c:v>41</c:v>
                </c:pt>
                <c:pt idx="72">
                  <c:v>42</c:v>
                </c:pt>
                <c:pt idx="73">
                  <c:v>43</c:v>
                </c:pt>
                <c:pt idx="74">
                  <c:v>44</c:v>
                </c:pt>
                <c:pt idx="75">
                  <c:v>45</c:v>
                </c:pt>
                <c:pt idx="76">
                  <c:v>46</c:v>
                </c:pt>
                <c:pt idx="77">
                  <c:v>47</c:v>
                </c:pt>
                <c:pt idx="78">
                  <c:v>48</c:v>
                </c:pt>
                <c:pt idx="79">
                  <c:v>49</c:v>
                </c:pt>
                <c:pt idx="80">
                  <c:v>50</c:v>
                </c:pt>
                <c:pt idx="81">
                  <c:v>51</c:v>
                </c:pt>
                <c:pt idx="82">
                  <c:v>52</c:v>
                </c:pt>
                <c:pt idx="83">
                  <c:v>53</c:v>
                </c:pt>
                <c:pt idx="84">
                  <c:v>54</c:v>
                </c:pt>
                <c:pt idx="85">
                  <c:v>55</c:v>
                </c:pt>
                <c:pt idx="86">
                  <c:v>56</c:v>
                </c:pt>
                <c:pt idx="87">
                  <c:v>57</c:v>
                </c:pt>
                <c:pt idx="88">
                  <c:v>58</c:v>
                </c:pt>
                <c:pt idx="89">
                  <c:v>59</c:v>
                </c:pt>
                <c:pt idx="90">
                  <c:v>60</c:v>
                </c:pt>
                <c:pt idx="91">
                  <c:v>61</c:v>
                </c:pt>
                <c:pt idx="92">
                  <c:v>62</c:v>
                </c:pt>
                <c:pt idx="93">
                  <c:v>63</c:v>
                </c:pt>
                <c:pt idx="94">
                  <c:v>64</c:v>
                </c:pt>
                <c:pt idx="95">
                  <c:v>65</c:v>
                </c:pt>
                <c:pt idx="96">
                  <c:v>66</c:v>
                </c:pt>
                <c:pt idx="97">
                  <c:v>67</c:v>
                </c:pt>
                <c:pt idx="98">
                  <c:v>68</c:v>
                </c:pt>
                <c:pt idx="99">
                  <c:v>69</c:v>
                </c:pt>
                <c:pt idx="100">
                  <c:v>70</c:v>
                </c:pt>
                <c:pt idx="101">
                  <c:v>71</c:v>
                </c:pt>
                <c:pt idx="102">
                  <c:v>72</c:v>
                </c:pt>
                <c:pt idx="103">
                  <c:v>73</c:v>
                </c:pt>
                <c:pt idx="104">
                  <c:v>74</c:v>
                </c:pt>
                <c:pt idx="105">
                  <c:v>75</c:v>
                </c:pt>
                <c:pt idx="106">
                  <c:v>76</c:v>
                </c:pt>
                <c:pt idx="107">
                  <c:v>77</c:v>
                </c:pt>
                <c:pt idx="108">
                  <c:v>78</c:v>
                </c:pt>
                <c:pt idx="109">
                  <c:v>79</c:v>
                </c:pt>
                <c:pt idx="110">
                  <c:v>80</c:v>
                </c:pt>
                <c:pt idx="111">
                  <c:v>81</c:v>
                </c:pt>
                <c:pt idx="112">
                  <c:v>82</c:v>
                </c:pt>
                <c:pt idx="113">
                  <c:v>83</c:v>
                </c:pt>
                <c:pt idx="114">
                  <c:v>84</c:v>
                </c:pt>
                <c:pt idx="115">
                  <c:v>85</c:v>
                </c:pt>
                <c:pt idx="116">
                  <c:v>86</c:v>
                </c:pt>
                <c:pt idx="117">
                  <c:v>87</c:v>
                </c:pt>
                <c:pt idx="118">
                  <c:v>88</c:v>
                </c:pt>
                <c:pt idx="119">
                  <c:v>89</c:v>
                </c:pt>
                <c:pt idx="120">
                  <c:v>90</c:v>
                </c:pt>
                <c:pt idx="121">
                  <c:v>91</c:v>
                </c:pt>
                <c:pt idx="122">
                  <c:v>92</c:v>
                </c:pt>
                <c:pt idx="123">
                  <c:v>93</c:v>
                </c:pt>
                <c:pt idx="124">
                  <c:v>94</c:v>
                </c:pt>
                <c:pt idx="125">
                  <c:v>95</c:v>
                </c:pt>
                <c:pt idx="126">
                  <c:v>96</c:v>
                </c:pt>
                <c:pt idx="127">
                  <c:v>97</c:v>
                </c:pt>
                <c:pt idx="128">
                  <c:v>98</c:v>
                </c:pt>
                <c:pt idx="129">
                  <c:v>99</c:v>
                </c:pt>
                <c:pt idx="130">
                  <c:v>100</c:v>
                </c:pt>
                <c:pt idx="131">
                  <c:v>101</c:v>
                </c:pt>
                <c:pt idx="132">
                  <c:v>102</c:v>
                </c:pt>
                <c:pt idx="133">
                  <c:v>103</c:v>
                </c:pt>
                <c:pt idx="134">
                  <c:v>104</c:v>
                </c:pt>
                <c:pt idx="135">
                  <c:v>105</c:v>
                </c:pt>
                <c:pt idx="136">
                  <c:v>106</c:v>
                </c:pt>
                <c:pt idx="137">
                  <c:v>107</c:v>
                </c:pt>
                <c:pt idx="138">
                  <c:v>108</c:v>
                </c:pt>
                <c:pt idx="139">
                  <c:v>109</c:v>
                </c:pt>
                <c:pt idx="140">
                  <c:v>110</c:v>
                </c:pt>
                <c:pt idx="141">
                  <c:v>111</c:v>
                </c:pt>
                <c:pt idx="142">
                  <c:v>112</c:v>
                </c:pt>
                <c:pt idx="143">
                  <c:v>113</c:v>
                </c:pt>
                <c:pt idx="144">
                  <c:v>114</c:v>
                </c:pt>
                <c:pt idx="145">
                  <c:v>115</c:v>
                </c:pt>
                <c:pt idx="146">
                  <c:v>116</c:v>
                </c:pt>
                <c:pt idx="147">
                  <c:v>117</c:v>
                </c:pt>
                <c:pt idx="148">
                  <c:v>118</c:v>
                </c:pt>
                <c:pt idx="149">
                  <c:v>119</c:v>
                </c:pt>
                <c:pt idx="150">
                  <c:v>120</c:v>
                </c:pt>
              </c:numCache>
            </c:numRef>
          </c:xVal>
          <c:yVal>
            <c:numRef>
              <c:f>calculations!$AK$36:$AK$246</c:f>
              <c:numCache>
                <c:formatCode>0.0000</c:formatCode>
                <c:ptCount val="211"/>
                <c:pt idx="0">
                  <c:v>0.48257347434719433</c:v>
                </c:pt>
                <c:pt idx="1">
                  <c:v>0.44239245516409609</c:v>
                </c:pt>
                <c:pt idx="2">
                  <c:v>0.40208782817212163</c:v>
                </c:pt>
                <c:pt idx="3">
                  <c:v>0.36167988796473483</c:v>
                </c:pt>
                <c:pt idx="4">
                  <c:v>0.32118898115671479</c:v>
                </c:pt>
                <c:pt idx="5">
                  <c:v>0.2806354961390225</c:v>
                </c:pt>
                <c:pt idx="6">
                  <c:v>0.24003985281263207</c:v>
                </c:pt>
                <c:pt idx="7">
                  <c:v>0.19942249230649545</c:v>
                </c:pt>
                <c:pt idx="8">
                  <c:v>0.16879080557442319</c:v>
                </c:pt>
                <c:pt idx="9">
                  <c:v>0.14227998394821675</c:v>
                </c:pt>
                <c:pt idx="10">
                  <c:v>0.11907311537841667</c:v>
                </c:pt>
                <c:pt idx="11">
                  <c:v>9.8903792542198249E-2</c:v>
                </c:pt>
                <c:pt idx="12">
                  <c:v>8.1514100249846372E-2</c:v>
                </c:pt>
                <c:pt idx="13">
                  <c:v>6.6654806267580052E-2</c:v>
                </c:pt>
                <c:pt idx="14">
                  <c:v>5.4085568062941854E-2</c:v>
                </c:pt>
                <c:pt idx="15">
                  <c:v>4.3575157898458727E-2</c:v>
                </c:pt>
                <c:pt idx="16">
                  <c:v>3.4901709259274064E-2</c:v>
                </c:pt>
                <c:pt idx="17">
                  <c:v>2.7852988340294628E-2</c:v>
                </c:pt>
                <c:pt idx="18">
                  <c:v>2.2226695314756805E-2</c:v>
                </c:pt>
                <c:pt idx="19">
                  <c:v>1.783080147780703E-2</c:v>
                </c:pt>
                <c:pt idx="20">
                  <c:v>1.4483930296128454E-2</c:v>
                </c:pt>
                <c:pt idx="21">
                  <c:v>1.2015793215124628E-2</c:v>
                </c:pt>
                <c:pt idx="22">
                  <c:v>1.0267695332565061E-2</c:v>
                </c:pt>
                <c:pt idx="23">
                  <c:v>9.0931327647544129E-3</c:v>
                </c:pt>
                <c:pt idx="24">
                  <c:v>8.3585147339335364E-3</c:v>
                </c:pt>
                <c:pt idx="25">
                  <c:v>7.9440634821503122E-3</c:v>
                </c:pt>
                <c:pt idx="26">
                  <c:v>7.7449847909909697E-3</c:v>
                </c:pt>
                <c:pt idx="27">
                  <c:v>7.6730923433398421E-3</c:v>
                </c:pt>
                <c:pt idx="28">
                  <c:v>7.6593315310145068E-3</c:v>
                </c:pt>
                <c:pt idx="29">
                  <c:v>7.6592196735733795E-3</c:v>
                </c:pt>
                <c:pt idx="30">
                  <c:v>7.6711507529069137E-3</c:v>
                </c:pt>
                <c:pt idx="31">
                  <c:v>7.7376585286974033E-3</c:v>
                </c:pt>
                <c:pt idx="32">
                  <c:v>7.9264926315426622E-3</c:v>
                </c:pt>
                <c:pt idx="33">
                  <c:v>8.3247425521308701E-3</c:v>
                </c:pt>
                <c:pt idx="34">
                  <c:v>9.0362284924942835E-3</c:v>
                </c:pt>
                <c:pt idx="35">
                  <c:v>1.0179838831362415E-2</c:v>
                </c:pt>
                <c:pt idx="36">
                  <c:v>1.1888338248141957E-2</c:v>
                </c:pt>
                <c:pt idx="37">
                  <c:v>1.4307454336183582E-2</c:v>
                </c:pt>
                <c:pt idx="38">
                  <c:v>1.759514633351069E-2</c:v>
                </c:pt>
                <c:pt idx="39">
                  <c:v>2.1921001149387102E-2</c:v>
                </c:pt>
                <c:pt idx="40">
                  <c:v>2.746572273924227E-2</c:v>
                </c:pt>
                <c:pt idx="41">
                  <c:v>3.4420692468166661E-2</c:v>
                </c:pt>
                <c:pt idx="42">
                  <c:v>4.298758502416182E-2</c:v>
                </c:pt>
                <c:pt idx="43">
                  <c:v>5.3378028815479435E-2</c:v>
                </c:pt>
                <c:pt idx="44">
                  <c:v>6.5813302676377181E-2</c:v>
                </c:pt>
                <c:pt idx="45">
                  <c:v>8.0524062686744557E-2</c:v>
                </c:pt>
                <c:pt idx="46">
                  <c:v>9.7750094311257696E-2</c:v>
                </c:pt>
                <c:pt idx="47">
                  <c:v>0.11774008607929745</c:v>
                </c:pt>
                <c:pt idx="48">
                  <c:v>0.1407514217800214</c:v>
                </c:pt>
                <c:pt idx="49">
                  <c:v>0.16704998871641163</c:v>
                </c:pt>
                <c:pt idx="50">
                  <c:v>0.19691</c:v>
                </c:pt>
                <c:pt idx="51">
                  <c:v>0.23752862562167659</c:v>
                </c:pt>
                <c:pt idx="52">
                  <c:v>0.2781267985421233</c:v>
                </c:pt>
                <c:pt idx="53">
                  <c:v>0.31868407635866119</c:v>
                </c:pt>
                <c:pt idx="54">
                  <c:v>0.35918003726052783</c:v>
                </c:pt>
                <c:pt idx="55">
                  <c:v>0.39959429031187377</c:v>
                </c:pt>
                <c:pt idx="56">
                  <c:v>0.43990648571921287</c:v>
                </c:pt>
                <c:pt idx="57">
                  <c:v>0.48009632507815647</c:v>
                </c:pt>
                <c:pt idx="58">
                  <c:v>0.52014357159427071</c:v>
                </c:pt>
                <c:pt idx="59">
                  <c:v>0.56002806027291241</c:v>
                </c:pt>
                <c:pt idx="60">
                  <c:v>0.59972970807291115</c:v>
                </c:pt>
                <c:pt idx="61">
                  <c:v>0.639228524018985</c:v>
                </c:pt>
                <c:pt idx="62">
                  <c:v>0.67850461926779881</c:v>
                </c:pt>
                <c:pt idx="63">
                  <c:v>0.71753821712259558</c:v>
                </c:pt>
                <c:pt idx="64">
                  <c:v>0.75630966299135916</c:v>
                </c:pt>
                <c:pt idx="65">
                  <c:v>0.7947994342834932</c:v>
                </c:pt>
                <c:pt idx="66">
                  <c:v>0.83298815024003292</c:v>
                </c:pt>
                <c:pt idx="67">
                  <c:v>0.87085658169244173</c:v>
                </c:pt>
                <c:pt idx="68">
                  <c:v>0.90838566074507587</c:v>
                </c:pt>
                <c:pt idx="69">
                  <c:v>0.94555649037644485</c:v>
                </c:pt>
                <c:pt idx="70">
                  <c:v>0.98235035395443004</c:v>
                </c:pt>
                <c:pt idx="71">
                  <c:v>1.018748724660673</c:v>
                </c:pt>
                <c:pt idx="72">
                  <c:v>1.0547332748193872</c:v>
                </c:pt>
                <c:pt idx="73">
                  <c:v>1.0902858851258932</c:v>
                </c:pt>
                <c:pt idx="74">
                  <c:v>1.1253886537702351</c:v>
                </c:pt>
                <c:pt idx="75">
                  <c:v>1.1600239054512815</c:v>
                </c:pt>
                <c:pt idx="76">
                  <c:v>1.1941742002767703</c:v>
                </c:pt>
                <c:pt idx="77">
                  <c:v>1.2278223425448216</c:v>
                </c:pt>
                <c:pt idx="78">
                  <c:v>1.26095138940249</c:v>
                </c:pt>
                <c:pt idx="79">
                  <c:v>1.2935446593770015</c:v>
                </c:pt>
                <c:pt idx="80">
                  <c:v>1.3255857407753788</c:v>
                </c:pt>
                <c:pt idx="81">
                  <c:v>1.3570584999482203</c:v>
                </c:pt>
                <c:pt idx="82">
                  <c:v>1.3879470894134811</c:v>
                </c:pt>
                <c:pt idx="83">
                  <c:v>1.4182359558361559</c:v>
                </c:pt>
                <c:pt idx="84">
                  <c:v>1.447909847859852</c:v>
                </c:pt>
                <c:pt idx="85">
                  <c:v>1.4769538237863069</c:v>
                </c:pt>
                <c:pt idx="86">
                  <c:v>1.5053532590989822</c:v>
                </c:pt>
                <c:pt idx="87">
                  <c:v>1.5330938538269498</c:v>
                </c:pt>
                <c:pt idx="88">
                  <c:v>1.5601616397453564</c:v>
                </c:pt>
                <c:pt idx="89">
                  <c:v>1.5865429874088459</c:v>
                </c:pt>
                <c:pt idx="90">
                  <c:v>1.6122246130143962</c:v>
                </c:pt>
                <c:pt idx="91">
                  <c:v>1.6371935850901127</c:v>
                </c:pt>
                <c:pt idx="92">
                  <c:v>1.6614373310066146</c:v>
                </c:pt>
                <c:pt idx="93">
                  <c:v>1.6849436433077338</c:v>
                </c:pt>
                <c:pt idx="94">
                  <c:v>1.707700685857334</c:v>
                </c:pt>
                <c:pt idx="95">
                  <c:v>1.7296969997991631</c:v>
                </c:pt>
                <c:pt idx="96">
                  <c:v>1.7509215093267334</c:v>
                </c:pt>
                <c:pt idx="97">
                  <c:v>1.7713635272603212</c:v>
                </c:pt>
                <c:pt idx="98">
                  <c:v>1.7910127604282862</c:v>
                </c:pt>
                <c:pt idx="99">
                  <c:v>1.8098593148499917</c:v>
                </c:pt>
                <c:pt idx="100">
                  <c:v>1.8278937007177234</c:v>
                </c:pt>
                <c:pt idx="101">
                  <c:v>1.8451068371750905</c:v>
                </c:pt>
                <c:pt idx="102">
                  <c:v>1.8614900568895139</c:v>
                </c:pt>
                <c:pt idx="103">
                  <c:v>1.8770351104164871</c:v>
                </c:pt>
                <c:pt idx="104">
                  <c:v>1.8917341703534198</c:v>
                </c:pt>
                <c:pt idx="105">
                  <c:v>1.9055798352809723</c:v>
                </c:pt>
                <c:pt idx="106">
                  <c:v>1.9185651334898908</c:v>
                </c:pt>
                <c:pt idx="107">
                  <c:v>1.9306835264914757</c:v>
                </c:pt>
                <c:pt idx="108">
                  <c:v>1.9419289123099051</c:v>
                </c:pt>
                <c:pt idx="109">
                  <c:v>1.9522956285547648</c:v>
                </c:pt>
                <c:pt idx="110">
                  <c:v>1.9617784552722322</c:v>
                </c:pt>
                <c:pt idx="111">
                  <c:v>1.9703726175734795</c:v>
                </c:pt>
                <c:pt idx="112">
                  <c:v>1.9780737880389754</c:v>
                </c:pt>
                <c:pt idx="113">
                  <c:v>1.9848780888974695</c:v>
                </c:pt>
                <c:pt idx="114">
                  <c:v>1.9907820939785679</c:v>
                </c:pt>
                <c:pt idx="115">
                  <c:v>1.9957828304379142</c:v>
                </c:pt>
                <c:pt idx="116">
                  <c:v>1.999877780254103</c:v>
                </c:pt>
                <c:pt idx="117">
                  <c:v>2.003064881496583</c:v>
                </c:pt>
                <c:pt idx="118">
                  <c:v>2.0053425293638987</c:v>
                </c:pt>
                <c:pt idx="119">
                  <c:v>2.0067095769917582</c:v>
                </c:pt>
                <c:pt idx="120">
                  <c:v>2.0071653360305115</c:v>
                </c:pt>
                <c:pt idx="121">
                  <c:v>2.0067095769917582</c:v>
                </c:pt>
                <c:pt idx="122">
                  <c:v>2.0053425293638987</c:v>
                </c:pt>
                <c:pt idx="123">
                  <c:v>2.003064881496583</c:v>
                </c:pt>
                <c:pt idx="124">
                  <c:v>1.999877780254103</c:v>
                </c:pt>
                <c:pt idx="125">
                  <c:v>1.9957828304379142</c:v>
                </c:pt>
                <c:pt idx="126">
                  <c:v>1.9907820939785681</c:v>
                </c:pt>
                <c:pt idx="127">
                  <c:v>1.9848780888974693</c:v>
                </c:pt>
                <c:pt idx="128">
                  <c:v>1.9780737880389754</c:v>
                </c:pt>
                <c:pt idx="129">
                  <c:v>1.9703726175734795</c:v>
                </c:pt>
                <c:pt idx="130">
                  <c:v>1.9617784552722322</c:v>
                </c:pt>
                <c:pt idx="131">
                  <c:v>1.9522956285547648</c:v>
                </c:pt>
                <c:pt idx="132">
                  <c:v>1.9419289123099051</c:v>
                </c:pt>
                <c:pt idx="133">
                  <c:v>1.9306835264914757</c:v>
                </c:pt>
                <c:pt idx="134">
                  <c:v>1.918565133489891</c:v>
                </c:pt>
                <c:pt idx="135">
                  <c:v>1.9055798352809723</c:v>
                </c:pt>
                <c:pt idx="136">
                  <c:v>1.8917341703534198</c:v>
                </c:pt>
                <c:pt idx="137">
                  <c:v>1.8770351104164871</c:v>
                </c:pt>
                <c:pt idx="138">
                  <c:v>1.8614900568895141</c:v>
                </c:pt>
                <c:pt idx="139">
                  <c:v>1.8451068371750905</c:v>
                </c:pt>
                <c:pt idx="140">
                  <c:v>1.8278937007177234</c:v>
                </c:pt>
                <c:pt idx="141">
                  <c:v>1.809859314849992</c:v>
                </c:pt>
                <c:pt idx="142">
                  <c:v>1.7910127604282862</c:v>
                </c:pt>
                <c:pt idx="143">
                  <c:v>1.7713635272603214</c:v>
                </c:pt>
                <c:pt idx="144">
                  <c:v>1.7509215093267336</c:v>
                </c:pt>
                <c:pt idx="145">
                  <c:v>1.7296969997991634</c:v>
                </c:pt>
                <c:pt idx="146">
                  <c:v>1.707700685857334</c:v>
                </c:pt>
                <c:pt idx="147">
                  <c:v>1.6849436433077341</c:v>
                </c:pt>
                <c:pt idx="148">
                  <c:v>1.6614373310066148</c:v>
                </c:pt>
                <c:pt idx="149">
                  <c:v>1.6371935850901127</c:v>
                </c:pt>
                <c:pt idx="150">
                  <c:v>1.6122246130143965</c:v>
                </c:pt>
              </c:numCache>
            </c:numRef>
          </c:yVal>
          <c:smooth val="0"/>
          <c:extLst>
            <c:ext xmlns:c16="http://schemas.microsoft.com/office/drawing/2014/chart" uri="{C3380CC4-5D6E-409C-BE32-E72D297353CC}">
              <c16:uniqueId val="{00000003-D1DA-453C-85BC-BD05C3C8DC55}"/>
            </c:ext>
          </c:extLst>
        </c:ser>
        <c:dLbls>
          <c:showLegendKey val="0"/>
          <c:showVal val="0"/>
          <c:showCatName val="0"/>
          <c:showSerName val="0"/>
          <c:showPercent val="0"/>
          <c:showBubbleSize val="0"/>
        </c:dLbls>
        <c:axId val="199739456"/>
        <c:axId val="1"/>
      </c:scatterChart>
      <c:valAx>
        <c:axId val="199739456"/>
        <c:scaling>
          <c:orientation val="minMax"/>
          <c:max val="120"/>
          <c:min val="-10"/>
        </c:scaling>
        <c:delete val="0"/>
        <c:axPos val="b"/>
        <c:majorGridlines>
          <c:spPr>
            <a:ln w="3175">
              <a:solidFill>
                <a:srgbClr val="969696"/>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majorUnit val="10"/>
      </c:valAx>
      <c:valAx>
        <c:axId val="1"/>
        <c:scaling>
          <c:orientation val="minMax"/>
          <c:max val="2.4"/>
          <c:min val="-1.4"/>
        </c:scaling>
        <c:delete val="0"/>
        <c:axPos val="l"/>
        <c:majorGridlines>
          <c:spPr>
            <a:ln w="3175">
              <a:solidFill>
                <a:srgbClr val="969696"/>
              </a:solidFill>
              <a:prstDash val="solid"/>
            </a:ln>
          </c:spPr>
        </c:majorGridlines>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99739456"/>
        <c:crosses val="autoZero"/>
        <c:crossBetween val="midCat"/>
        <c:majorUnit val="0.2"/>
      </c:valAx>
      <c:spPr>
        <a:solidFill>
          <a:srgbClr val="CCCCFF"/>
        </a:solidFill>
        <a:ln w="12700">
          <a:solidFill>
            <a:srgbClr val="808080"/>
          </a:solidFill>
          <a:prstDash val="solid"/>
        </a:ln>
      </c:spPr>
    </c:plotArea>
    <c:legend>
      <c:legendPos val="r"/>
      <c:layout>
        <c:manualLayout>
          <c:xMode val="edge"/>
          <c:yMode val="edge"/>
          <c:x val="0.27866016747906514"/>
          <c:y val="3.3039647577092511E-2"/>
          <c:w val="0.24867761900132851"/>
          <c:h val="0.14977996693144632"/>
        </c:manualLayout>
      </c:layout>
      <c:overlay val="0"/>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Spin" dx="15" fmlaLink="calculations!$J$19" max="100" min="1" noThreeD="1" page="10" val="6"/>
</file>

<file path=xl/ctrlProps/ctrlProp4.xml><?xml version="1.0" encoding="utf-8"?>
<formControlPr xmlns="http://schemas.microsoft.com/office/spreadsheetml/2009/9/main" objectType="Spin" dx="15" fmlaLink="calculations!$K$19" max="100" min="1" noThreeD="1" page="10" val="14"/>
</file>

<file path=xl/ctrlProps/ctrlProp5.xml><?xml version="1.0" encoding="utf-8"?>
<formControlPr xmlns="http://schemas.microsoft.com/office/spreadsheetml/2009/9/main" objectType="Spin" dx="15" fmlaLink="calculations!$J$24" max="100" min="1" noThreeD="1" page="10" val="12"/>
</file>

<file path=xl/ctrlProps/ctrlProp6.xml><?xml version="1.0" encoding="utf-8"?>
<formControlPr xmlns="http://schemas.microsoft.com/office/spreadsheetml/2009/9/main" objectType="Spin" dx="15" fmlaLink="calculations!$K$24" max="100" min="1" noThreeD="1" page="10" val="30"/>
</file>

<file path=xl/ctrlProps/ctrlProp7.xml><?xml version="1.0" encoding="utf-8"?>
<formControlPr xmlns="http://schemas.microsoft.com/office/spreadsheetml/2009/9/main" objectType="Spin" dx="15" fmlaLink="calculations!$M$13" inc="2" max="9" min="1" noThreeD="1" page="10" val="5"/>
</file>

<file path=xl/ctrlProps/ctrlProp8.xml><?xml version="1.0" encoding="utf-8"?>
<formControlPr xmlns="http://schemas.microsoft.com/office/spreadsheetml/2009/9/main" objectType="Spin" dx="15" fmlaLink="calculations!$M$17" max="100" min="1" noThreeD="1" page="10" val="30"/>
</file>

<file path=xl/ctrlProps/ctrlProp9.xml><?xml version="1.0" encoding="utf-8"?>
<formControlPr xmlns="http://schemas.microsoft.com/office/spreadsheetml/2009/9/main" objectType="Spin" dx="15" fmlaLink="calculations!$N$7" max="6" min="2" noThreeD="1" page="10" val="3"/>
</file>

<file path=xl/ctrlProps/ctrlProp10.xml><?xml version="1.0" encoding="utf-8"?>
<formControlPr xmlns="http://schemas.microsoft.com/office/spreadsheetml/2009/9/main" objectType="CheckBox" checked="Checked" fmlaLink="calculations!$U$28" lockText="1" noThreeD="1"/>
</file>

<file path=xl/ctrlProps/ctrlProp11.xml><?xml version="1.0" encoding="utf-8"?>
<formControlPr xmlns="http://schemas.microsoft.com/office/spreadsheetml/2009/9/main" objectType="Spin" dx="15" fmlaLink="calculations!$V$28" inc="5" max="300" min="100" noThreeD="1" page="10" val="135"/>
</file>

<file path=xl/ctrlProps/ctrlProp12.xml><?xml version="1.0" encoding="utf-8"?>
<formControlPr xmlns="http://schemas.microsoft.com/office/spreadsheetml/2009/9/main" objectType="CheckBox" fmlaLink="calculations!$U$21" lockText="1" noThreeD="1"/>
</file>

<file path=xl/ctrlProps/ctrlProp13.xml><?xml version="1.0" encoding="utf-8"?>
<formControlPr xmlns="http://schemas.microsoft.com/office/spreadsheetml/2009/9/main" objectType="Spin" dx="15" fmlaLink="calculations!$V$21" max="100" min="1" noThreeD="1" page="10" val="23"/>
</file>

<file path=xl/ctrlProps/ctrlProp14.xml><?xml version="1.0" encoding="utf-8"?>
<formControlPr xmlns="http://schemas.microsoft.com/office/spreadsheetml/2009/9/main" objectType="Spin" dx="15" fmlaLink="calculations!$R$34" max="40" min="20" noThreeD="1" page="10" val="36"/>
</file>

<file path=xl/ctrlProps/ctrlProp15.xml><?xml version="1.0" encoding="utf-8"?>
<formControlPr xmlns="http://schemas.microsoft.com/office/spreadsheetml/2009/9/main" objectType="Radio" firstButton="1" fmlaLink="calculations!$L$13"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Radio" checked="Checked" firstButton="1" fmlaLink="calculations!$J$13"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CheckBox" fmlaLink="$A$1"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13</xdr:col>
      <xdr:colOff>495300</xdr:colOff>
      <xdr:row>1</xdr:row>
      <xdr:rowOff>0</xdr:rowOff>
    </xdr:from>
    <xdr:to>
      <xdr:col>21</xdr:col>
      <xdr:colOff>847725</xdr:colOff>
      <xdr:row>33</xdr:row>
      <xdr:rowOff>57150</xdr:rowOff>
    </xdr:to>
    <xdr:graphicFrame macro="">
      <xdr:nvGraphicFramePr>
        <xdr:cNvPr id="1335" name="Chart 7">
          <a:extLst>
            <a:ext uri="{FF2B5EF4-FFF2-40B4-BE49-F238E27FC236}">
              <a16:creationId xmlns:a16="http://schemas.microsoft.com/office/drawing/2014/main" id="{00000000-0008-0000-0000-0000370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13</xdr:col>
      <xdr:colOff>495300</xdr:colOff>
      <xdr:row>33</xdr:row>
      <xdr:rowOff>66675</xdr:rowOff>
    </xdr:from>
    <xdr:to>
      <xdr:col>21</xdr:col>
      <xdr:colOff>847725</xdr:colOff>
      <xdr:row>65</xdr:row>
      <xdr:rowOff>123825</xdr:rowOff>
    </xdr:to>
    <xdr:graphicFrame macro="">
      <xdr:nvGraphicFramePr>
        <xdr:cNvPr id="1336" name="Chart 163">
          <a:extLst>
            <a:ext uri="{FF2B5EF4-FFF2-40B4-BE49-F238E27FC236}">
              <a16:creationId xmlns:a16="http://schemas.microsoft.com/office/drawing/2014/main" id="{00000000-0008-0000-0000-0000380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4</xdr:col>
          <xdr:colOff>0</xdr:colOff>
          <xdr:row>4</xdr:row>
          <xdr:rowOff>0</xdr:rowOff>
        </xdr:from>
        <xdr:to>
          <xdr:col>12</xdr:col>
          <xdr:colOff>476250</xdr:colOff>
          <xdr:row>32</xdr:row>
          <xdr:rowOff>114300</xdr:rowOff>
        </xdr:to>
        <xdr:grpSp>
          <xdr:nvGrpSpPr>
            <xdr:cNvPr id="1337" name="Group 182">
              <a:extLst>
                <a:ext uri="{FF2B5EF4-FFF2-40B4-BE49-F238E27FC236}">
                  <a16:creationId xmlns:a16="http://schemas.microsoft.com/office/drawing/2014/main" id="{00000000-0008-0000-0000-000039050000}"/>
                </a:ext>
              </a:extLst>
            </xdr:cNvPr>
            <xdr:cNvGrpSpPr>
              <a:grpSpLocks/>
            </xdr:cNvGrpSpPr>
          </xdr:nvGrpSpPr>
          <xdr:grpSpPr bwMode="auto">
            <a:xfrm>
              <a:off x="609600" y="533400"/>
              <a:ext cx="4591050" cy="3848100"/>
              <a:chOff x="64" y="56"/>
              <a:chExt cx="482" cy="404"/>
            </a:xfrm>
          </xdr:grpSpPr>
          <xdr:sp macro="" textlink="">
            <xdr:nvSpPr>
              <xdr:cNvPr id="1056" name="Group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226" y="56"/>
                <a:ext cx="108" cy="84"/>
              </a:xfrm>
              <a:prstGeom prst="rect">
                <a:avLst/>
              </a:prstGeom>
              <a:noFill/>
              <a:ln w="9525">
                <a:miter lim="800000"/>
                <a:headEnd/>
                <a:tailEnd/>
              </a:ln>
              <a:extLst>
                <a:ext uri="{909E8E84-426E-40DD-AFC4-6F175D3DCCD1}">
                  <a14:hiddenFill>
                    <a:noFill/>
                  </a14:hiddenFill>
                </a:ext>
              </a:extLst>
            </xdr:spPr>
          </xdr:sp>
          <xdr:sp macro="" textlink="">
            <xdr:nvSpPr>
              <xdr:cNvPr id="1051" name="Group Box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64" y="70"/>
                <a:ext cx="108" cy="56"/>
              </a:xfrm>
              <a:prstGeom prst="rect">
                <a:avLst/>
              </a:prstGeom>
              <a:noFill/>
              <a:ln w="9525">
                <a:miter lim="800000"/>
                <a:headEnd/>
                <a:tailEnd/>
              </a:ln>
              <a:extLst>
                <a:ext uri="{909E8E84-426E-40DD-AFC4-6F175D3DCCD1}">
                  <a14:hiddenFill>
                    <a:noFill/>
                  </a14:hiddenFill>
                </a:ext>
              </a:extLst>
            </xdr:spPr>
          </xdr:sp>
          <xdr:grpSp>
            <xdr:nvGrpSpPr>
              <xdr:cNvPr id="1338" name="Group 181">
                <a:extLst>
                  <a:ext uri="{FF2B5EF4-FFF2-40B4-BE49-F238E27FC236}">
                    <a16:creationId xmlns:a16="http://schemas.microsoft.com/office/drawing/2014/main" id="{00000000-0008-0000-0000-00003A050000}"/>
                  </a:ext>
                </a:extLst>
              </xdr:cNvPr>
              <xdr:cNvGrpSpPr>
                <a:grpSpLocks/>
              </xdr:cNvGrpSpPr>
            </xdr:nvGrpSpPr>
            <xdr:grpSpPr bwMode="auto">
              <a:xfrm>
                <a:off x="64" y="56"/>
                <a:ext cx="482" cy="404"/>
                <a:chOff x="64" y="56"/>
                <a:chExt cx="482" cy="404"/>
              </a:xfrm>
            </xdr:grpSpPr>
            <xdr:sp macro="" textlink="">
              <xdr:nvSpPr>
                <xdr:cNvPr id="1032" name="Spinner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68" y="186"/>
                  <a:ext cx="45" cy="90"/>
                </a:xfrm>
                <a:prstGeom prst="rect">
                  <a:avLst/>
                </a:prstGeom>
                <a:noFill/>
                <a:ln w="9525">
                  <a:miter lim="800000"/>
                  <a:headEnd/>
                  <a:tailEnd/>
                </a:ln>
              </xdr:spPr>
            </xdr:sp>
            <xdr:sp macro="" textlink="">
              <xdr:nvSpPr>
                <xdr:cNvPr id="1033" name="Spinner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123" y="186"/>
                  <a:ext cx="45" cy="90"/>
                </a:xfrm>
                <a:prstGeom prst="rect">
                  <a:avLst/>
                </a:prstGeom>
                <a:noFill/>
                <a:ln w="9525">
                  <a:miter lim="800000"/>
                  <a:headEnd/>
                  <a:tailEnd/>
                </a:ln>
              </xdr:spPr>
            </xdr:sp>
            <xdr:sp macro="" textlink="">
              <xdr:nvSpPr>
                <xdr:cNvPr id="1034" name="Spinner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231" y="186"/>
                  <a:ext cx="45" cy="90"/>
                </a:xfrm>
                <a:prstGeom prst="rect">
                  <a:avLst/>
                </a:prstGeom>
                <a:noFill/>
                <a:ln w="9525">
                  <a:miter lim="800000"/>
                  <a:headEnd/>
                  <a:tailEnd/>
                </a:ln>
              </xdr:spPr>
            </xdr:sp>
            <xdr:sp macro="" textlink="">
              <xdr:nvSpPr>
                <xdr:cNvPr id="1035" name="Spinner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285" y="186"/>
                  <a:ext cx="45" cy="90"/>
                </a:xfrm>
                <a:prstGeom prst="rect">
                  <a:avLst/>
                </a:prstGeom>
                <a:noFill/>
                <a:ln w="9525">
                  <a:miter lim="800000"/>
                  <a:headEnd/>
                  <a:tailEnd/>
                </a:ln>
              </xdr:spPr>
            </xdr:sp>
            <xdr:sp macro="" textlink="">
              <xdr:nvSpPr>
                <xdr:cNvPr id="1060" name="Spinner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298" y="300"/>
                  <a:ext cx="32" cy="58"/>
                </a:xfrm>
                <a:prstGeom prst="rect">
                  <a:avLst/>
                </a:prstGeom>
                <a:noFill/>
                <a:ln w="9525">
                  <a:miter lim="800000"/>
                  <a:headEnd/>
                  <a:tailEnd/>
                </a:ln>
              </xdr:spPr>
            </xdr:sp>
            <xdr:sp macro="" textlink="">
              <xdr:nvSpPr>
                <xdr:cNvPr id="1184" name="Spinner 160" hidden="1">
                  <a:extLst>
                    <a:ext uri="{63B3BB69-23CF-44E3-9099-C40C66FF867C}">
                      <a14:compatExt spid="_x0000_s1184"/>
                    </a:ext>
                    <a:ext uri="{FF2B5EF4-FFF2-40B4-BE49-F238E27FC236}">
                      <a16:creationId xmlns:a16="http://schemas.microsoft.com/office/drawing/2014/main" id="{00000000-0008-0000-0000-0000A0040000}"/>
                    </a:ext>
                  </a:extLst>
                </xdr:cNvPr>
                <xdr:cNvSpPr/>
              </xdr:nvSpPr>
              <xdr:spPr bwMode="auto">
                <a:xfrm>
                  <a:off x="392" y="186"/>
                  <a:ext cx="45" cy="90"/>
                </a:xfrm>
                <a:prstGeom prst="rect">
                  <a:avLst/>
                </a:prstGeom>
                <a:noFill/>
                <a:ln w="9525">
                  <a:miter lim="800000"/>
                  <a:headEnd/>
                  <a:tailEnd/>
                </a:ln>
              </xdr:spPr>
            </xdr:sp>
            <xdr:sp macro="" textlink="">
              <xdr:nvSpPr>
                <xdr:cNvPr id="1188" name="Spinner 164" hidden="1">
                  <a:extLst>
                    <a:ext uri="{63B3BB69-23CF-44E3-9099-C40C66FF867C}">
                      <a14:compatExt spid="_x0000_s1188"/>
                    </a:ext>
                    <a:ext uri="{FF2B5EF4-FFF2-40B4-BE49-F238E27FC236}">
                      <a16:creationId xmlns:a16="http://schemas.microsoft.com/office/drawing/2014/main" id="{00000000-0008-0000-0000-0000A4040000}"/>
                    </a:ext>
                  </a:extLst>
                </xdr:cNvPr>
                <xdr:cNvSpPr/>
              </xdr:nvSpPr>
              <xdr:spPr bwMode="auto">
                <a:xfrm>
                  <a:off x="406" y="300"/>
                  <a:ext cx="32" cy="58"/>
                </a:xfrm>
                <a:prstGeom prst="rect">
                  <a:avLst/>
                </a:prstGeom>
                <a:noFill/>
                <a:ln w="9525">
                  <a:miter lim="800000"/>
                  <a:headEnd/>
                  <a:tailEnd/>
                </a:ln>
              </xdr:spPr>
            </xdr:sp>
            <xdr:sp macro="" textlink="">
              <xdr:nvSpPr>
                <xdr:cNvPr id="1191" name="Check Box 167" descr="Alter polynomial fit" hidden="1">
                  <a:extLst>
                    <a:ext uri="{63B3BB69-23CF-44E3-9099-C40C66FF867C}">
                      <a14:compatExt spid="_x0000_s1191"/>
                    </a:ext>
                    <a:ext uri="{FF2B5EF4-FFF2-40B4-BE49-F238E27FC236}">
                      <a16:creationId xmlns:a16="http://schemas.microsoft.com/office/drawing/2014/main" id="{00000000-0008-0000-0000-0000A7040000}"/>
                    </a:ext>
                  </a:extLst>
                </xdr:cNvPr>
                <xdr:cNvSpPr/>
              </xdr:nvSpPr>
              <xdr:spPr bwMode="auto">
                <a:xfrm>
                  <a:off x="64" y="295"/>
                  <a:ext cx="106" cy="2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192" name="Spinner 168"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66" y="408"/>
                  <a:ext cx="32" cy="52"/>
                </a:xfrm>
                <a:prstGeom prst="rect">
                  <a:avLst/>
                </a:prstGeom>
                <a:noFill/>
                <a:ln w="9525">
                  <a:miter lim="800000"/>
                  <a:headEnd/>
                  <a:tailEnd/>
                </a:ln>
              </xdr:spPr>
            </xdr:sp>
            <xdr:sp macro="" textlink="">
              <xdr:nvSpPr>
                <xdr:cNvPr id="1193" name="Check Box 169"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64" y="323"/>
                  <a:ext cx="106" cy="2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197" name="Spinner 173"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66" y="352"/>
                  <a:ext cx="32" cy="52"/>
                </a:xfrm>
                <a:prstGeom prst="rect">
                  <a:avLst/>
                </a:prstGeom>
                <a:noFill/>
                <a:ln w="9525">
                  <a:miter lim="800000"/>
                  <a:headEnd/>
                  <a:tailEnd/>
                </a:ln>
              </xdr:spPr>
            </xdr:sp>
            <xdr:sp macro="" textlink="">
              <xdr:nvSpPr>
                <xdr:cNvPr id="1201" name="Spinner 177" hidden="1">
                  <a:extLst>
                    <a:ext uri="{63B3BB69-23CF-44E3-9099-C40C66FF867C}">
                      <a14:compatExt spid="_x0000_s1201"/>
                    </a:ext>
                    <a:ext uri="{FF2B5EF4-FFF2-40B4-BE49-F238E27FC236}">
                      <a16:creationId xmlns:a16="http://schemas.microsoft.com/office/drawing/2014/main" id="{00000000-0008-0000-0000-0000B1040000}"/>
                    </a:ext>
                  </a:extLst>
                </xdr:cNvPr>
                <xdr:cNvSpPr/>
              </xdr:nvSpPr>
              <xdr:spPr bwMode="auto">
                <a:xfrm>
                  <a:off x="501" y="186"/>
                  <a:ext cx="45" cy="90"/>
                </a:xfrm>
                <a:prstGeom prst="rect">
                  <a:avLst/>
                </a:prstGeom>
                <a:noFill/>
                <a:ln w="9525">
                  <a:miter lim="800000"/>
                  <a:headEnd/>
                  <a:tailEnd/>
                </a:ln>
              </xdr:spPr>
            </xdr:sp>
            <xdr:sp macro="" textlink="">
              <xdr:nvSpPr>
                <xdr:cNvPr id="1057" name="Option 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224" y="56"/>
                  <a:ext cx="105" cy="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058" name="Option 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224" y="85"/>
                  <a:ext cx="105" cy="2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059" name="Option Button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224" y="113"/>
                  <a:ext cx="105" cy="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052" name="Option 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66" y="71"/>
                  <a:ext cx="105" cy="2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053" name="Option Button 29" descr=" Finite AR corrected"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66" y="97"/>
                  <a:ext cx="105" cy="2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0</xdr:row>
          <xdr:rowOff>38100</xdr:rowOff>
        </xdr:from>
        <xdr:to>
          <xdr:col>3</xdr:col>
          <xdr:colOff>542925</xdr:colOff>
          <xdr:row>3</xdr:row>
          <xdr:rowOff>123825</xdr:rowOff>
        </xdr:to>
        <xdr:sp macro="" textlink="">
          <xdr:nvSpPr>
            <xdr:cNvPr id="9218" name="Check Box 2" descr="  Check if you want to enter parameters manually"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solidFill>
              <a:srgbClr val="FFFF00"/>
            </a:solidFill>
            <a:ln w="1270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   CHECK IF YOU WANT TO ENTER PARAMETERS MANUALLY</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Q312"/>
  <sheetViews>
    <sheetView tabSelected="1" zoomScaleNormal="100" workbookViewId="0">
      <selection activeCell="F3" sqref="F3"/>
    </sheetView>
  </sheetViews>
  <sheetFormatPr defaultRowHeight="11.1" customHeight="1" x14ac:dyDescent="0.2"/>
  <cols>
    <col min="1" max="4" width="2.28515625" style="5" customWidth="1"/>
    <col min="5" max="11" width="7.7109375" style="5" customWidth="1"/>
    <col min="12" max="14" width="7.7109375" style="1" customWidth="1"/>
    <col min="15" max="15" width="9.7109375" style="1" customWidth="1"/>
    <col min="16" max="18" width="9.7109375" customWidth="1"/>
    <col min="19" max="20" width="9.7109375" style="5" customWidth="1"/>
    <col min="21" max="21" width="9.7109375" style="17" customWidth="1"/>
    <col min="22" max="23" width="14.7109375" style="7" customWidth="1"/>
    <col min="24" max="24" width="10.140625" style="17" bestFit="1" customWidth="1"/>
    <col min="25" max="25" width="10.5703125" style="17" customWidth="1"/>
    <col min="26" max="26" width="12.140625" style="17" customWidth="1"/>
    <col min="27" max="27" width="10.28515625" style="17" customWidth="1"/>
    <col min="28" max="28" width="10" style="17" customWidth="1"/>
    <col min="29" max="29" width="9.140625" style="17"/>
    <col min="30" max="30" width="10" style="17" customWidth="1"/>
    <col min="31" max="31" width="9.85546875" style="17" customWidth="1"/>
    <col min="32" max="32" width="9.140625" style="17"/>
    <col min="33" max="37" width="13.140625" style="7" customWidth="1"/>
    <col min="38" max="41" width="11" style="17" customWidth="1"/>
    <col min="42" max="44" width="9.140625" style="17"/>
    <col min="45" max="45" width="12" style="17" customWidth="1"/>
    <col min="46" max="46" width="12.85546875" style="17" customWidth="1"/>
    <col min="47" max="47" width="10.42578125" style="17" customWidth="1"/>
    <col min="48" max="49" width="13.140625" style="17" customWidth="1"/>
    <col min="50" max="50" width="12.140625" style="17" customWidth="1"/>
    <col min="51" max="51" width="13.140625" style="17" customWidth="1"/>
    <col min="52" max="52" width="12.28515625" style="17" customWidth="1"/>
    <col min="53" max="54" width="9.140625" style="17"/>
  </cols>
  <sheetData>
    <row r="1" spans="1:95" ht="11.1" customHeight="1" x14ac:dyDescent="0.2">
      <c r="A1" s="183" t="s">
        <v>71</v>
      </c>
      <c r="B1" s="183" t="s">
        <v>72</v>
      </c>
      <c r="C1" s="183" t="s">
        <v>73</v>
      </c>
      <c r="D1" s="183" t="s">
        <v>74</v>
      </c>
      <c r="E1" s="101"/>
      <c r="F1" s="101"/>
      <c r="G1" s="101"/>
      <c r="H1" s="101"/>
      <c r="I1" s="101"/>
      <c r="J1" s="101"/>
      <c r="K1" s="1"/>
      <c r="P1" s="1"/>
      <c r="Q1" s="1"/>
      <c r="R1" s="3"/>
      <c r="S1" s="3"/>
      <c r="T1" s="7"/>
      <c r="U1" s="7"/>
      <c r="X1" s="7"/>
      <c r="Y1" s="7"/>
      <c r="Z1" s="7"/>
      <c r="AA1" s="7"/>
      <c r="AB1" s="7"/>
      <c r="AC1" s="7"/>
      <c r="AD1" s="7"/>
      <c r="AE1" s="7"/>
      <c r="AF1" s="7"/>
      <c r="AL1" s="7"/>
      <c r="AM1" s="7"/>
      <c r="AN1" s="7"/>
      <c r="AO1" s="7"/>
      <c r="AP1" s="7"/>
      <c r="AQ1" s="7"/>
      <c r="AR1" s="7"/>
      <c r="AS1" s="7"/>
      <c r="AT1" s="7"/>
      <c r="AU1" s="7"/>
      <c r="AV1" s="7"/>
      <c r="AW1" s="7"/>
      <c r="AX1" s="7"/>
      <c r="AY1" s="7"/>
      <c r="AZ1" s="7"/>
      <c r="BA1" s="7"/>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row>
    <row r="2" spans="1:95" ht="11.1" customHeight="1" x14ac:dyDescent="0.2">
      <c r="A2" s="183"/>
      <c r="B2" s="183"/>
      <c r="C2" s="183"/>
      <c r="D2" s="183"/>
      <c r="E2" s="126"/>
      <c r="F2" s="127"/>
      <c r="G2" s="127"/>
      <c r="H2" s="127"/>
      <c r="I2" s="128"/>
      <c r="J2" s="128"/>
      <c r="K2" s="128"/>
      <c r="L2" s="128"/>
      <c r="M2" s="128"/>
      <c r="N2" s="8"/>
      <c r="O2" s="19"/>
      <c r="P2" s="7"/>
      <c r="Q2" s="17"/>
      <c r="R2" s="17"/>
      <c r="S2" s="17"/>
      <c r="T2" s="17"/>
      <c r="V2" s="17"/>
      <c r="W2" s="17"/>
      <c r="Z2" s="7"/>
      <c r="AA2" s="7"/>
      <c r="AB2" s="7"/>
      <c r="AC2" s="7"/>
      <c r="AD2" s="7"/>
      <c r="AG2" s="17"/>
      <c r="AH2" s="17"/>
      <c r="AI2" s="17"/>
      <c r="AJ2" s="17"/>
      <c r="AK2" s="17"/>
      <c r="AV2"/>
      <c r="AW2"/>
      <c r="AX2"/>
      <c r="AY2"/>
      <c r="AZ2"/>
      <c r="BA2"/>
      <c r="BB2"/>
    </row>
    <row r="3" spans="1:95" ht="11.1" customHeight="1" x14ac:dyDescent="0.2">
      <c r="A3" s="183"/>
      <c r="B3" s="183"/>
      <c r="C3" s="183"/>
      <c r="D3" s="183"/>
      <c r="E3" s="129" t="s">
        <v>3</v>
      </c>
      <c r="F3" s="169">
        <v>15.28</v>
      </c>
      <c r="G3" s="193" t="s">
        <v>5</v>
      </c>
      <c r="H3" s="194"/>
      <c r="I3" s="194"/>
      <c r="J3" s="194"/>
      <c r="K3" s="195"/>
      <c r="L3" s="96"/>
      <c r="M3" s="96"/>
      <c r="N3" s="9"/>
      <c r="O3" s="19"/>
      <c r="P3" s="7"/>
      <c r="Q3" s="7"/>
      <c r="R3" s="7"/>
      <c r="S3" s="7"/>
      <c r="T3" s="7"/>
      <c r="U3" s="7"/>
      <c r="X3" s="7"/>
      <c r="Y3" s="7"/>
      <c r="Z3" s="7"/>
      <c r="AA3" s="7"/>
      <c r="AB3" s="7"/>
      <c r="AC3" s="7"/>
      <c r="AD3" s="7"/>
      <c r="AE3" s="7"/>
      <c r="AF3" s="7"/>
      <c r="AL3" s="7"/>
      <c r="AM3" s="7"/>
      <c r="AN3" s="7"/>
      <c r="AO3" s="7"/>
      <c r="AV3"/>
      <c r="AW3"/>
      <c r="AX3"/>
      <c r="AY3"/>
      <c r="AZ3"/>
      <c r="BA3"/>
      <c r="BB3"/>
    </row>
    <row r="4" spans="1:95" ht="11.1" customHeight="1" x14ac:dyDescent="0.2">
      <c r="A4" s="183"/>
      <c r="B4" s="183"/>
      <c r="C4" s="183"/>
      <c r="D4" s="183"/>
      <c r="E4" s="130" t="s">
        <v>4</v>
      </c>
      <c r="F4" s="170">
        <v>0.15</v>
      </c>
      <c r="G4" s="193" t="s">
        <v>6</v>
      </c>
      <c r="H4" s="208"/>
      <c r="I4" s="208"/>
      <c r="J4" s="194"/>
      <c r="K4" s="195"/>
      <c r="L4" s="96"/>
      <c r="M4" s="96"/>
      <c r="N4" s="9"/>
      <c r="O4" s="19"/>
      <c r="P4" s="7"/>
      <c r="Q4" s="17"/>
      <c r="R4" s="17"/>
      <c r="S4" s="17"/>
      <c r="T4" s="17"/>
      <c r="V4" s="17"/>
      <c r="W4" s="17"/>
      <c r="Z4" s="7"/>
      <c r="AA4" s="7"/>
      <c r="AB4" s="7"/>
      <c r="AC4" s="7"/>
      <c r="AD4" s="7"/>
      <c r="AG4" s="17"/>
      <c r="AH4" s="17"/>
      <c r="AI4" s="17"/>
      <c r="AJ4" s="17"/>
      <c r="AK4" s="17"/>
      <c r="AV4"/>
      <c r="AW4"/>
      <c r="AX4"/>
      <c r="AY4"/>
      <c r="AZ4"/>
      <c r="BA4"/>
      <c r="BB4"/>
    </row>
    <row r="5" spans="1:95" ht="11.1" customHeight="1" x14ac:dyDescent="0.2">
      <c r="A5" s="183"/>
      <c r="B5" s="183"/>
      <c r="C5" s="183"/>
      <c r="D5" s="183"/>
      <c r="E5" s="126"/>
      <c r="F5" s="127"/>
      <c r="G5" s="95"/>
      <c r="H5" s="225" t="s">
        <v>86</v>
      </c>
      <c r="I5" s="226"/>
      <c r="J5" s="109"/>
      <c r="K5" s="109"/>
      <c r="L5" s="109"/>
      <c r="M5" s="109"/>
      <c r="N5" s="9"/>
      <c r="O5" s="19"/>
      <c r="P5" s="7"/>
      <c r="Q5" s="17"/>
      <c r="R5" s="17"/>
      <c r="S5" s="18"/>
      <c r="T5" s="17"/>
      <c r="V5" s="17"/>
      <c r="W5" s="17"/>
      <c r="Z5" s="7"/>
      <c r="AA5" s="7"/>
      <c r="AB5" s="7"/>
      <c r="AC5" s="7"/>
      <c r="AD5" s="7"/>
      <c r="AG5" s="17"/>
      <c r="AH5" s="17"/>
      <c r="AI5" s="17"/>
      <c r="AJ5" s="17"/>
      <c r="AK5" s="17"/>
      <c r="AV5"/>
      <c r="AW5"/>
      <c r="AX5"/>
      <c r="AY5"/>
      <c r="AZ5"/>
      <c r="BA5"/>
      <c r="BB5"/>
    </row>
    <row r="6" spans="1:95" ht="11.1" customHeight="1" x14ac:dyDescent="0.2">
      <c r="A6" s="183"/>
      <c r="B6" s="183"/>
      <c r="C6" s="183"/>
      <c r="D6" s="183"/>
      <c r="E6" s="227" t="s">
        <v>84</v>
      </c>
      <c r="F6" s="228"/>
      <c r="G6" s="95"/>
      <c r="H6" s="214"/>
      <c r="I6" s="215"/>
      <c r="J6" s="109"/>
      <c r="K6" s="109"/>
      <c r="L6" s="109"/>
      <c r="M6" s="109"/>
      <c r="N6" s="9"/>
      <c r="O6" s="19"/>
      <c r="P6" s="7"/>
      <c r="Q6" s="17"/>
      <c r="R6" s="17"/>
      <c r="S6" s="19"/>
      <c r="T6" s="17"/>
      <c r="V6" s="17"/>
      <c r="W6" s="17"/>
      <c r="Z6" s="7"/>
      <c r="AA6" s="7"/>
      <c r="AB6" s="7"/>
      <c r="AC6" s="7"/>
      <c r="AD6" s="7"/>
      <c r="AG6" s="17"/>
      <c r="AH6" s="17"/>
      <c r="AI6" s="17"/>
      <c r="AJ6" s="17"/>
      <c r="AK6" s="17"/>
      <c r="AV6"/>
      <c r="AW6"/>
      <c r="AX6"/>
      <c r="AY6"/>
      <c r="AZ6"/>
      <c r="BA6"/>
      <c r="BB6"/>
    </row>
    <row r="7" spans="1:95" ht="11.1" customHeight="1" x14ac:dyDescent="0.2">
      <c r="A7" s="183"/>
      <c r="B7" s="183"/>
      <c r="C7" s="183"/>
      <c r="D7" s="183"/>
      <c r="E7" s="227"/>
      <c r="F7" s="228"/>
      <c r="G7" s="95"/>
      <c r="H7" s="214" t="s">
        <v>85</v>
      </c>
      <c r="I7" s="215"/>
      <c r="J7" s="109"/>
      <c r="K7" s="109"/>
      <c r="L7" s="109"/>
      <c r="M7" s="110"/>
      <c r="N7" s="9"/>
      <c r="O7" s="19"/>
      <c r="P7" s="7"/>
      <c r="Q7" s="17"/>
      <c r="R7" s="17"/>
      <c r="S7" s="7"/>
      <c r="T7" s="17"/>
      <c r="V7" s="17"/>
      <c r="W7" s="17"/>
      <c r="Z7" s="7"/>
      <c r="AA7" s="7"/>
      <c r="AB7" s="7"/>
      <c r="AC7" s="7"/>
      <c r="AD7" s="7"/>
      <c r="AG7" s="17"/>
      <c r="AH7" s="17"/>
      <c r="AI7" s="17"/>
      <c r="AJ7" s="17"/>
      <c r="AK7" s="17"/>
      <c r="AV7"/>
      <c r="AW7"/>
      <c r="AX7"/>
      <c r="AY7"/>
      <c r="AZ7"/>
      <c r="BA7"/>
      <c r="BB7"/>
    </row>
    <row r="8" spans="1:95" ht="11.1" customHeight="1" x14ac:dyDescent="0.2">
      <c r="A8" s="183"/>
      <c r="B8" s="183"/>
      <c r="C8" s="183"/>
      <c r="D8" s="183"/>
      <c r="E8" s="227" t="s">
        <v>83</v>
      </c>
      <c r="F8" s="228"/>
      <c r="G8" s="95"/>
      <c r="H8" s="214"/>
      <c r="I8" s="215"/>
      <c r="J8" s="109"/>
      <c r="K8" s="109"/>
      <c r="L8" s="109"/>
      <c r="M8" s="184" t="s">
        <v>70</v>
      </c>
      <c r="N8" s="9"/>
      <c r="O8" s="19"/>
      <c r="P8" s="7"/>
      <c r="Q8" s="17"/>
      <c r="R8" s="17"/>
      <c r="S8" s="17"/>
      <c r="T8" s="17"/>
      <c r="V8" s="17"/>
      <c r="W8" s="17"/>
      <c r="Z8" s="7"/>
      <c r="AA8" s="7"/>
      <c r="AB8" s="7"/>
      <c r="AC8" s="7"/>
      <c r="AD8" s="7"/>
      <c r="AG8" s="17"/>
      <c r="AH8" s="17"/>
      <c r="AI8" s="17"/>
      <c r="AJ8" s="17"/>
      <c r="AK8" s="17"/>
      <c r="AV8"/>
      <c r="AW8"/>
      <c r="AX8"/>
      <c r="AY8"/>
      <c r="AZ8"/>
      <c r="BA8"/>
      <c r="BB8"/>
    </row>
    <row r="9" spans="1:95" ht="11.1" customHeight="1" x14ac:dyDescent="0.2">
      <c r="A9" s="183"/>
      <c r="B9" s="183"/>
      <c r="C9" s="183"/>
      <c r="D9" s="183"/>
      <c r="E9" s="229"/>
      <c r="F9" s="230"/>
      <c r="G9" s="95"/>
      <c r="H9" s="214" t="s">
        <v>87</v>
      </c>
      <c r="I9" s="215"/>
      <c r="J9" s="109"/>
      <c r="K9" s="109"/>
      <c r="L9" s="109"/>
      <c r="M9" s="185"/>
      <c r="N9" s="9"/>
      <c r="P9" s="7"/>
      <c r="Q9" s="17"/>
      <c r="R9" s="17"/>
      <c r="S9" s="18"/>
      <c r="T9" s="17"/>
      <c r="V9" s="17"/>
      <c r="W9" s="76"/>
      <c r="X9" s="77"/>
      <c r="Z9" s="87"/>
      <c r="AA9" s="87"/>
      <c r="AB9" s="87"/>
      <c r="AC9" s="87"/>
      <c r="AD9" s="87"/>
      <c r="AG9" s="17"/>
      <c r="AH9" s="17"/>
      <c r="AI9" s="17"/>
      <c r="AJ9" s="17"/>
      <c r="AK9" s="17"/>
      <c r="AV9"/>
      <c r="AW9"/>
      <c r="AX9"/>
      <c r="AY9"/>
      <c r="AZ9"/>
      <c r="BA9"/>
      <c r="BB9"/>
    </row>
    <row r="10" spans="1:95" ht="11.1" customHeight="1" x14ac:dyDescent="0.2">
      <c r="A10" s="183"/>
      <c r="B10" s="183"/>
      <c r="C10" s="183"/>
      <c r="D10" s="183"/>
      <c r="E10" s="211" t="s">
        <v>10</v>
      </c>
      <c r="F10" s="211" t="s">
        <v>11</v>
      </c>
      <c r="G10" s="95"/>
      <c r="H10" s="216"/>
      <c r="I10" s="217"/>
      <c r="J10" s="109"/>
      <c r="K10" s="109"/>
      <c r="L10" s="109"/>
      <c r="M10" s="185"/>
      <c r="N10" s="9"/>
      <c r="O10" s="19"/>
      <c r="P10" s="7"/>
      <c r="Q10" s="18"/>
      <c r="R10" s="18"/>
      <c r="S10" s="19"/>
      <c r="T10" s="18"/>
      <c r="V10" s="17"/>
      <c r="W10" s="76"/>
      <c r="X10" s="78"/>
      <c r="Y10" s="18"/>
      <c r="Z10" s="7"/>
      <c r="AA10" s="7"/>
      <c r="AB10" s="7"/>
      <c r="AC10" s="7"/>
      <c r="AD10" s="7"/>
      <c r="AE10" s="18"/>
      <c r="AF10" s="18"/>
      <c r="AG10" s="18"/>
      <c r="AH10" s="18"/>
      <c r="AI10" s="17"/>
      <c r="AJ10" s="17"/>
      <c r="AK10" s="17"/>
      <c r="AV10"/>
      <c r="AW10"/>
      <c r="AX10"/>
      <c r="AY10"/>
      <c r="AZ10"/>
      <c r="BA10"/>
      <c r="BB10"/>
    </row>
    <row r="11" spans="1:95" ht="11.1" customHeight="1" x14ac:dyDescent="0.2">
      <c r="A11" s="183"/>
      <c r="B11" s="183"/>
      <c r="C11" s="183"/>
      <c r="D11" s="183"/>
      <c r="E11" s="211"/>
      <c r="F11" s="211"/>
      <c r="G11" s="95"/>
      <c r="H11" s="219" t="s">
        <v>90</v>
      </c>
      <c r="I11" s="222" t="s">
        <v>91</v>
      </c>
      <c r="J11" s="109"/>
      <c r="K11" s="205" t="s">
        <v>48</v>
      </c>
      <c r="L11" s="97"/>
      <c r="M11" s="185"/>
      <c r="N11" s="9"/>
      <c r="O11" s="19"/>
      <c r="P11" s="102"/>
      <c r="Q11" s="18"/>
      <c r="R11" s="18"/>
      <c r="S11" s="48"/>
      <c r="T11" s="19"/>
      <c r="V11" s="17"/>
      <c r="W11" s="17"/>
      <c r="X11" s="19"/>
      <c r="Y11" s="19"/>
      <c r="Z11" s="48"/>
      <c r="AA11" s="48"/>
      <c r="AB11" s="48"/>
      <c r="AC11" s="48"/>
      <c r="AD11" s="48"/>
      <c r="AE11" s="48"/>
      <c r="AF11" s="48"/>
      <c r="AG11" s="48"/>
      <c r="AH11" s="48"/>
      <c r="AI11" s="17"/>
      <c r="AJ11" s="17"/>
      <c r="AK11" s="17"/>
      <c r="AV11"/>
      <c r="AW11"/>
      <c r="AX11"/>
      <c r="AY11"/>
      <c r="AZ11"/>
      <c r="BA11"/>
      <c r="BB11"/>
    </row>
    <row r="12" spans="1:95" ht="11.1" customHeight="1" x14ac:dyDescent="0.2">
      <c r="A12" s="183"/>
      <c r="B12" s="183"/>
      <c r="C12" s="183"/>
      <c r="D12" s="183"/>
      <c r="E12" s="211"/>
      <c r="F12" s="211"/>
      <c r="G12" s="95"/>
      <c r="H12" s="220"/>
      <c r="I12" s="223"/>
      <c r="J12" s="109"/>
      <c r="K12" s="206"/>
      <c r="L12" s="98"/>
      <c r="M12" s="185"/>
      <c r="N12" s="9"/>
      <c r="O12" s="19"/>
      <c r="P12" s="102"/>
      <c r="Q12" s="18"/>
      <c r="R12" s="18"/>
      <c r="S12" s="48"/>
      <c r="T12" s="19"/>
      <c r="V12" s="17"/>
      <c r="W12" s="17"/>
      <c r="X12" s="7"/>
      <c r="Y12" s="7"/>
      <c r="Z12" s="48"/>
      <c r="AA12" s="48"/>
      <c r="AB12" s="48"/>
      <c r="AC12" s="48"/>
      <c r="AD12" s="48"/>
      <c r="AE12" s="48"/>
      <c r="AF12" s="48"/>
      <c r="AG12" s="48"/>
      <c r="AH12" s="48"/>
      <c r="AI12" s="17"/>
      <c r="AJ12" s="17"/>
      <c r="AK12" s="17"/>
      <c r="AV12"/>
      <c r="AW12"/>
      <c r="AX12"/>
      <c r="AY12"/>
      <c r="AZ12"/>
      <c r="BA12"/>
      <c r="BB12"/>
    </row>
    <row r="13" spans="1:95" ht="11.1" customHeight="1" x14ac:dyDescent="0.2">
      <c r="A13" s="183"/>
      <c r="B13" s="183"/>
      <c r="C13" s="183"/>
      <c r="D13" s="183"/>
      <c r="E13" s="212"/>
      <c r="F13" s="212"/>
      <c r="G13" s="95"/>
      <c r="H13" s="221"/>
      <c r="I13" s="224"/>
      <c r="J13" s="109"/>
      <c r="K13" s="206"/>
      <c r="L13" s="98"/>
      <c r="M13" s="186"/>
      <c r="N13" s="9"/>
      <c r="O13" s="19"/>
      <c r="P13" s="102"/>
      <c r="Q13" s="7"/>
      <c r="R13" s="7"/>
      <c r="S13" s="48"/>
      <c r="T13" s="75"/>
      <c r="V13" s="17"/>
      <c r="W13" s="76"/>
      <c r="X13" s="77"/>
      <c r="Y13" s="7"/>
      <c r="Z13" s="48"/>
      <c r="AA13" s="48"/>
      <c r="AB13" s="48"/>
      <c r="AC13" s="48"/>
      <c r="AD13" s="48"/>
      <c r="AE13" s="48"/>
      <c r="AF13" s="48"/>
      <c r="AG13" s="48"/>
      <c r="AH13" s="48"/>
      <c r="AI13" s="17"/>
      <c r="AJ13" s="17"/>
      <c r="AK13" s="17"/>
      <c r="AV13"/>
      <c r="AW13"/>
      <c r="AX13"/>
      <c r="AY13"/>
      <c r="AZ13"/>
      <c r="BA13"/>
      <c r="BB13"/>
    </row>
    <row r="14" spans="1:95" ht="11.1" customHeight="1" x14ac:dyDescent="0.2">
      <c r="A14" s="183"/>
      <c r="B14" s="183"/>
      <c r="C14" s="183"/>
      <c r="D14" s="183"/>
      <c r="E14" s="213"/>
      <c r="F14" s="213"/>
      <c r="G14" s="95"/>
      <c r="H14" s="218"/>
      <c r="I14" s="218"/>
      <c r="J14" s="109"/>
      <c r="K14" s="207"/>
      <c r="L14" s="95"/>
      <c r="M14" s="209"/>
      <c r="N14" s="9"/>
      <c r="O14" s="19"/>
      <c r="P14" s="102"/>
      <c r="Q14" s="18"/>
      <c r="R14" s="17"/>
      <c r="S14" s="48"/>
      <c r="T14" s="18"/>
      <c r="V14" s="17"/>
      <c r="W14" s="76"/>
      <c r="X14" s="77"/>
      <c r="Y14" s="7"/>
      <c r="Z14" s="48"/>
      <c r="AA14" s="48"/>
      <c r="AB14" s="48"/>
      <c r="AC14" s="48"/>
      <c r="AD14" s="48"/>
      <c r="AE14" s="48"/>
      <c r="AF14" s="48"/>
      <c r="AG14" s="48"/>
      <c r="AH14" s="48"/>
      <c r="AI14" s="17"/>
      <c r="AJ14" s="17"/>
      <c r="AK14" s="17"/>
      <c r="AV14"/>
      <c r="AW14"/>
      <c r="AX14"/>
      <c r="AY14"/>
      <c r="AZ14"/>
      <c r="BA14"/>
      <c r="BB14"/>
    </row>
    <row r="15" spans="1:95" ht="11.1" customHeight="1" x14ac:dyDescent="0.2">
      <c r="A15" s="183"/>
      <c r="B15" s="183"/>
      <c r="C15" s="183"/>
      <c r="D15" s="183"/>
      <c r="E15" s="213"/>
      <c r="F15" s="213"/>
      <c r="G15" s="95"/>
      <c r="H15" s="218"/>
      <c r="I15" s="218"/>
      <c r="J15" s="109"/>
      <c r="K15" s="207"/>
      <c r="L15" s="95"/>
      <c r="M15" s="210"/>
      <c r="N15" s="9"/>
      <c r="O15" s="19"/>
      <c r="P15" s="102"/>
      <c r="Q15" s="19"/>
      <c r="R15" s="18"/>
      <c r="S15" s="48"/>
      <c r="T15" s="19"/>
      <c r="V15" s="17"/>
      <c r="W15" s="17"/>
      <c r="Z15" s="48"/>
      <c r="AA15" s="48"/>
      <c r="AB15" s="48"/>
      <c r="AC15" s="48"/>
      <c r="AD15" s="48"/>
      <c r="AE15" s="48"/>
      <c r="AF15" s="48"/>
      <c r="AG15" s="48"/>
      <c r="AH15" s="48"/>
      <c r="AI15" s="17"/>
      <c r="AJ15" s="17"/>
      <c r="AK15" s="17"/>
      <c r="AV15"/>
      <c r="AW15"/>
      <c r="AX15"/>
      <c r="AY15"/>
      <c r="AZ15"/>
      <c r="BA15"/>
      <c r="BB15"/>
    </row>
    <row r="16" spans="1:95" ht="11.1" customHeight="1" x14ac:dyDescent="0.2">
      <c r="A16" s="183"/>
      <c r="B16" s="183"/>
      <c r="C16" s="183"/>
      <c r="D16" s="183"/>
      <c r="E16" s="213"/>
      <c r="F16" s="213"/>
      <c r="G16" s="95"/>
      <c r="H16" s="218"/>
      <c r="I16" s="218"/>
      <c r="J16" s="109"/>
      <c r="K16" s="207"/>
      <c r="L16" s="95"/>
      <c r="M16" s="210"/>
      <c r="N16" s="9"/>
      <c r="O16" s="19"/>
      <c r="P16" s="102"/>
      <c r="Q16" s="75"/>
      <c r="R16" s="19"/>
      <c r="S16" s="48"/>
      <c r="T16" s="19"/>
      <c r="V16" s="17"/>
      <c r="W16" s="17"/>
      <c r="Z16" s="48"/>
      <c r="AA16" s="48"/>
      <c r="AB16" s="48"/>
      <c r="AC16" s="48"/>
      <c r="AD16" s="48"/>
      <c r="AE16" s="48"/>
      <c r="AF16" s="48"/>
      <c r="AG16" s="48"/>
      <c r="AH16" s="48"/>
      <c r="AI16" s="17"/>
      <c r="AJ16" s="17"/>
      <c r="AK16" s="17"/>
      <c r="AV16"/>
      <c r="AW16"/>
      <c r="AX16"/>
      <c r="AY16"/>
      <c r="AZ16"/>
      <c r="BA16"/>
      <c r="BB16"/>
    </row>
    <row r="17" spans="1:54" ht="11.1" customHeight="1" x14ac:dyDescent="0.2">
      <c r="A17" s="183"/>
      <c r="B17" s="183"/>
      <c r="C17" s="183"/>
      <c r="D17" s="183"/>
      <c r="E17" s="213"/>
      <c r="F17" s="213"/>
      <c r="G17" s="95"/>
      <c r="H17" s="218"/>
      <c r="I17" s="218"/>
      <c r="J17" s="109"/>
      <c r="K17" s="207"/>
      <c r="L17" s="95"/>
      <c r="M17" s="210"/>
      <c r="N17" s="9"/>
      <c r="O17" s="19"/>
      <c r="P17" s="102"/>
      <c r="Q17" s="17"/>
      <c r="R17" s="7"/>
      <c r="S17" s="48"/>
      <c r="T17" s="75"/>
      <c r="V17" s="17"/>
      <c r="W17" s="17"/>
      <c r="Z17" s="48"/>
      <c r="AA17" s="48"/>
      <c r="AB17" s="48"/>
      <c r="AC17" s="48"/>
      <c r="AD17" s="48"/>
      <c r="AE17" s="48"/>
      <c r="AF17" s="48"/>
      <c r="AG17" s="48"/>
      <c r="AH17" s="48"/>
      <c r="AI17" s="17"/>
      <c r="AJ17" s="17"/>
      <c r="AK17" s="17"/>
      <c r="AV17"/>
      <c r="AW17"/>
      <c r="AX17"/>
      <c r="AY17"/>
      <c r="AZ17"/>
      <c r="BA17"/>
      <c r="BB17"/>
    </row>
    <row r="18" spans="1:54" ht="11.1" customHeight="1" x14ac:dyDescent="0.2">
      <c r="A18" s="183"/>
      <c r="B18" s="183"/>
      <c r="C18" s="183"/>
      <c r="D18" s="183"/>
      <c r="E18" s="213"/>
      <c r="F18" s="213"/>
      <c r="G18" s="95"/>
      <c r="H18" s="218"/>
      <c r="I18" s="218"/>
      <c r="J18" s="109"/>
      <c r="K18" s="207"/>
      <c r="L18" s="95"/>
      <c r="M18" s="210"/>
      <c r="N18" s="9"/>
      <c r="O18" s="19"/>
      <c r="P18" s="102"/>
      <c r="Q18" s="17"/>
      <c r="R18" s="17"/>
      <c r="S18" s="17"/>
      <c r="T18" s="17"/>
      <c r="V18" s="17"/>
      <c r="W18" s="17"/>
      <c r="Z18" s="7"/>
      <c r="AA18" s="7"/>
      <c r="AB18" s="7"/>
      <c r="AC18" s="7"/>
      <c r="AD18" s="7"/>
      <c r="AG18" s="17"/>
      <c r="AH18" s="17"/>
      <c r="AI18" s="17"/>
      <c r="AJ18" s="17"/>
      <c r="AK18" s="17"/>
      <c r="AV18"/>
      <c r="AW18"/>
      <c r="AX18"/>
      <c r="AY18"/>
      <c r="AZ18"/>
      <c r="BA18"/>
      <c r="BB18"/>
    </row>
    <row r="19" spans="1:54" ht="11.1" customHeight="1" x14ac:dyDescent="0.2">
      <c r="A19" s="183"/>
      <c r="B19" s="183"/>
      <c r="C19" s="183"/>
      <c r="D19" s="183"/>
      <c r="E19" s="213"/>
      <c r="F19" s="213"/>
      <c r="G19" s="95"/>
      <c r="H19" s="218"/>
      <c r="I19" s="218"/>
      <c r="J19" s="109"/>
      <c r="K19" s="207"/>
      <c r="L19" s="95"/>
      <c r="M19" s="210"/>
      <c r="N19" s="9"/>
      <c r="O19" s="19"/>
      <c r="P19" s="102"/>
      <c r="Q19" s="7"/>
      <c r="R19" s="7"/>
      <c r="S19" s="7"/>
      <c r="T19" s="17"/>
      <c r="V19" s="17"/>
      <c r="W19" s="17"/>
      <c r="Z19" s="7"/>
      <c r="AA19" s="7"/>
      <c r="AB19" s="7"/>
      <c r="AC19" s="7"/>
      <c r="AD19" s="7"/>
      <c r="AG19" s="17"/>
      <c r="AH19" s="17"/>
      <c r="AI19" s="17"/>
      <c r="AJ19" s="17"/>
      <c r="AK19" s="17"/>
      <c r="AV19"/>
      <c r="AW19"/>
      <c r="AX19"/>
      <c r="AY19"/>
      <c r="AZ19"/>
      <c r="BA19"/>
      <c r="BB19"/>
    </row>
    <row r="20" spans="1:54" ht="11.1" customHeight="1" x14ac:dyDescent="0.2">
      <c r="A20" s="183"/>
      <c r="B20" s="183"/>
      <c r="C20" s="183"/>
      <c r="D20" s="183"/>
      <c r="E20" s="213"/>
      <c r="F20" s="213"/>
      <c r="G20" s="95"/>
      <c r="H20" s="218"/>
      <c r="I20" s="218"/>
      <c r="J20" s="109"/>
      <c r="K20" s="207"/>
      <c r="L20" s="95"/>
      <c r="M20" s="210"/>
      <c r="N20" s="9"/>
      <c r="O20" s="19"/>
      <c r="P20" s="102"/>
      <c r="Q20" s="75"/>
      <c r="R20" s="75"/>
      <c r="S20" s="75"/>
      <c r="T20" s="17"/>
      <c r="V20" s="17"/>
      <c r="W20" s="17"/>
      <c r="Z20" s="7"/>
      <c r="AA20" s="7"/>
      <c r="AB20" s="7"/>
      <c r="AC20" s="7"/>
      <c r="AD20" s="7"/>
      <c r="AG20" s="17"/>
      <c r="AH20" s="17"/>
      <c r="AI20" s="17"/>
      <c r="AJ20" s="17"/>
      <c r="AK20" s="17"/>
      <c r="AV20"/>
      <c r="AW20"/>
      <c r="AX20"/>
      <c r="AY20"/>
      <c r="AZ20"/>
      <c r="BA20"/>
      <c r="BB20"/>
    </row>
    <row r="21" spans="1:54" ht="11.1" customHeight="1" x14ac:dyDescent="0.2">
      <c r="A21" s="183"/>
      <c r="B21" s="183"/>
      <c r="C21" s="183"/>
      <c r="D21" s="183"/>
      <c r="E21" s="124"/>
      <c r="F21" s="95"/>
      <c r="G21" s="95"/>
      <c r="H21" s="95"/>
      <c r="I21" s="109"/>
      <c r="J21" s="109"/>
      <c r="K21" s="109"/>
      <c r="L21" s="109"/>
      <c r="M21" s="104"/>
      <c r="N21" s="9"/>
      <c r="O21" s="19"/>
      <c r="P21" s="102"/>
      <c r="Q21" s="92"/>
      <c r="R21" s="92"/>
      <c r="S21" s="92"/>
      <c r="T21" s="17"/>
      <c r="V21" s="17"/>
      <c r="W21" s="17"/>
      <c r="Z21" s="7"/>
      <c r="AA21" s="79"/>
      <c r="AB21" s="7"/>
      <c r="AC21" s="7"/>
      <c r="AD21" s="7"/>
      <c r="AG21" s="17"/>
      <c r="AH21" s="17"/>
      <c r="AI21" s="17"/>
      <c r="AJ21" s="17"/>
      <c r="AK21" s="17"/>
      <c r="AV21"/>
      <c r="AW21"/>
      <c r="AX21"/>
      <c r="AY21"/>
      <c r="AZ21"/>
      <c r="BA21"/>
      <c r="BB21"/>
    </row>
    <row r="22" spans="1:54" ht="11.1" customHeight="1" x14ac:dyDescent="0.2">
      <c r="A22" s="183"/>
      <c r="B22" s="183"/>
      <c r="C22" s="183"/>
      <c r="D22" s="183"/>
      <c r="E22" s="241" t="s">
        <v>82</v>
      </c>
      <c r="F22" s="242"/>
      <c r="G22" s="95"/>
      <c r="H22" s="245" t="s">
        <v>18</v>
      </c>
      <c r="I22" s="231">
        <f>calculations!$M$13</f>
        <v>5</v>
      </c>
      <c r="J22" s="198" t="s">
        <v>60</v>
      </c>
      <c r="K22" s="202">
        <f>calculations!$N$7</f>
        <v>3</v>
      </c>
      <c r="L22" s="99"/>
      <c r="M22" s="125" t="s">
        <v>75</v>
      </c>
      <c r="N22" s="9"/>
      <c r="O22" s="19"/>
      <c r="P22" s="102"/>
      <c r="Q22" s="93"/>
      <c r="R22" s="93"/>
      <c r="S22" s="93"/>
      <c r="T22" s="17"/>
      <c r="V22" s="17"/>
      <c r="W22" s="17"/>
      <c r="Z22" s="7"/>
      <c r="AA22" s="7"/>
      <c r="AB22" s="7"/>
      <c r="AC22" s="7"/>
      <c r="AD22" s="7"/>
      <c r="AG22" s="17"/>
      <c r="AH22" s="17"/>
      <c r="AI22" s="17"/>
      <c r="AJ22" s="17"/>
      <c r="AK22" s="17"/>
      <c r="AV22"/>
      <c r="AW22"/>
      <c r="AX22"/>
      <c r="AY22"/>
      <c r="AZ22"/>
      <c r="BA22"/>
      <c r="BB22"/>
    </row>
    <row r="23" spans="1:54" ht="11.1" customHeight="1" x14ac:dyDescent="0.2">
      <c r="A23" s="183"/>
      <c r="B23" s="183"/>
      <c r="C23" s="183"/>
      <c r="D23" s="183"/>
      <c r="E23" s="243"/>
      <c r="F23" s="244"/>
      <c r="G23" s="95"/>
      <c r="H23" s="246"/>
      <c r="I23" s="232"/>
      <c r="J23" s="199"/>
      <c r="K23" s="203"/>
      <c r="L23" s="99"/>
      <c r="M23" s="196">
        <f>calculations!Q34</f>
        <v>3.6</v>
      </c>
      <c r="N23" s="9"/>
      <c r="O23" s="19"/>
      <c r="P23" s="102"/>
      <c r="Q23" s="79"/>
      <c r="R23" s="79"/>
      <c r="S23" s="79"/>
      <c r="T23" s="17"/>
      <c r="U23" s="68"/>
      <c r="V23" s="67"/>
      <c r="W23" s="68"/>
      <c r="X23" s="67"/>
      <c r="Z23" s="7"/>
      <c r="AA23" s="7"/>
      <c r="AB23" s="7"/>
      <c r="AC23" s="7"/>
      <c r="AD23" s="7"/>
      <c r="AG23" s="17"/>
      <c r="AH23" s="17"/>
      <c r="AI23" s="17"/>
      <c r="AJ23" s="17"/>
      <c r="AK23" s="17"/>
      <c r="AV23"/>
      <c r="AW23"/>
      <c r="AX23"/>
      <c r="AY23"/>
      <c r="AZ23"/>
      <c r="BA23"/>
      <c r="BB23"/>
    </row>
    <row r="24" spans="1:54" ht="11.1" customHeight="1" x14ac:dyDescent="0.2">
      <c r="A24" s="183"/>
      <c r="B24" s="183"/>
      <c r="C24" s="183"/>
      <c r="D24" s="183"/>
      <c r="E24" s="248" t="s">
        <v>88</v>
      </c>
      <c r="F24" s="249"/>
      <c r="G24" s="95"/>
      <c r="H24" s="246"/>
      <c r="I24" s="232"/>
      <c r="J24" s="199"/>
      <c r="K24" s="203"/>
      <c r="L24" s="99"/>
      <c r="M24" s="197"/>
      <c r="N24" s="9"/>
      <c r="O24" s="19"/>
      <c r="P24" s="102"/>
      <c r="Q24" s="19"/>
      <c r="R24" s="19"/>
      <c r="S24" s="19"/>
      <c r="T24" s="19"/>
      <c r="U24" s="67"/>
      <c r="V24" s="67"/>
      <c r="W24" s="67"/>
      <c r="X24" s="67"/>
      <c r="Z24" s="7"/>
      <c r="AA24" s="7"/>
      <c r="AB24" s="7"/>
      <c r="AC24" s="7"/>
      <c r="AD24" s="7"/>
      <c r="AG24" s="17"/>
      <c r="AH24" s="17"/>
      <c r="AI24" s="17"/>
      <c r="AJ24" s="17"/>
      <c r="AK24" s="17"/>
      <c r="AV24"/>
      <c r="AW24"/>
      <c r="AX24"/>
      <c r="AY24"/>
      <c r="AZ24"/>
      <c r="BA24"/>
      <c r="BB24"/>
    </row>
    <row r="25" spans="1:54" ht="11.1" customHeight="1" x14ac:dyDescent="0.2">
      <c r="A25" s="183"/>
      <c r="B25" s="183"/>
      <c r="C25" s="183"/>
      <c r="D25" s="183"/>
      <c r="E25" s="250"/>
      <c r="F25" s="251"/>
      <c r="G25" s="95"/>
      <c r="H25" s="246"/>
      <c r="I25" s="232"/>
      <c r="J25" s="199"/>
      <c r="K25" s="203"/>
      <c r="L25" s="99"/>
      <c r="M25" s="131"/>
      <c r="N25" s="9"/>
      <c r="O25" s="19"/>
      <c r="P25" s="102"/>
      <c r="Q25" s="19"/>
      <c r="R25" s="19"/>
      <c r="S25" s="19"/>
      <c r="T25" s="19"/>
      <c r="U25" s="67"/>
      <c r="V25" s="67"/>
      <c r="W25" s="67"/>
      <c r="X25" s="67"/>
      <c r="Z25" s="7"/>
      <c r="AA25" s="7"/>
      <c r="AB25" s="7"/>
      <c r="AC25" s="7"/>
      <c r="AD25" s="7"/>
      <c r="AG25" s="17"/>
      <c r="AH25" s="17"/>
      <c r="AI25" s="17"/>
      <c r="AJ25" s="17"/>
      <c r="AK25" s="17"/>
      <c r="AV25"/>
      <c r="AW25"/>
      <c r="AX25"/>
      <c r="AY25"/>
      <c r="AZ25"/>
      <c r="BA25"/>
      <c r="BB25"/>
    </row>
    <row r="26" spans="1:54" ht="11.1" customHeight="1" x14ac:dyDescent="0.2">
      <c r="A26" s="183"/>
      <c r="B26" s="183"/>
      <c r="C26" s="183"/>
      <c r="D26" s="183"/>
      <c r="E26" s="238" t="s">
        <v>81</v>
      </c>
      <c r="F26" s="239"/>
      <c r="G26" s="95"/>
      <c r="H26" s="247"/>
      <c r="I26" s="233"/>
      <c r="J26" s="200"/>
      <c r="K26" s="204"/>
      <c r="L26" s="99"/>
      <c r="M26" s="99"/>
      <c r="N26" s="9"/>
      <c r="O26" s="19"/>
      <c r="P26" s="102"/>
      <c r="Q26" s="76"/>
      <c r="R26" s="77"/>
      <c r="S26" s="76"/>
      <c r="T26" s="77"/>
      <c r="U26" s="80"/>
      <c r="V26" s="27"/>
      <c r="W26" s="80"/>
      <c r="X26" s="27"/>
      <c r="Z26" s="7"/>
      <c r="AA26" s="7"/>
      <c r="AB26" s="7"/>
      <c r="AC26" s="7"/>
      <c r="AD26" s="7"/>
      <c r="AG26" s="17"/>
      <c r="AH26" s="17"/>
      <c r="AI26" s="17"/>
      <c r="AJ26" s="17"/>
      <c r="AK26" s="17"/>
      <c r="AV26"/>
      <c r="AW26"/>
      <c r="AX26"/>
      <c r="AY26"/>
      <c r="AZ26"/>
      <c r="BA26"/>
      <c r="BB26"/>
    </row>
    <row r="27" spans="1:54" ht="11.1" customHeight="1" x14ac:dyDescent="0.2">
      <c r="A27" s="183"/>
      <c r="B27" s="183"/>
      <c r="C27" s="183"/>
      <c r="D27" s="183"/>
      <c r="E27" s="240"/>
      <c r="F27" s="240"/>
      <c r="G27" s="95"/>
      <c r="H27" s="201" t="s">
        <v>57</v>
      </c>
      <c r="I27" s="201"/>
      <c r="J27" s="201" t="s">
        <v>59</v>
      </c>
      <c r="K27" s="201"/>
      <c r="L27" s="97"/>
      <c r="M27" s="97"/>
      <c r="N27" s="9"/>
      <c r="O27" s="19"/>
      <c r="P27" s="102"/>
      <c r="Q27" s="76"/>
      <c r="R27" s="81"/>
      <c r="S27" s="76"/>
      <c r="T27" s="81"/>
      <c r="U27" s="80"/>
      <c r="V27" s="82"/>
      <c r="W27" s="80"/>
      <c r="X27" s="27"/>
      <c r="Z27" s="7"/>
      <c r="AA27" s="7"/>
      <c r="AB27" s="7"/>
      <c r="AC27" s="7"/>
      <c r="AD27" s="7"/>
      <c r="AG27" s="17"/>
      <c r="AH27" s="17"/>
      <c r="AI27" s="17"/>
      <c r="AJ27" s="17"/>
      <c r="AK27" s="17"/>
      <c r="AV27"/>
      <c r="AW27"/>
      <c r="AX27"/>
      <c r="AY27"/>
      <c r="AZ27"/>
      <c r="BA27"/>
      <c r="BB27"/>
    </row>
    <row r="28" spans="1:54" ht="11.1" customHeight="1" x14ac:dyDescent="0.2">
      <c r="A28" s="183"/>
      <c r="B28" s="183"/>
      <c r="C28" s="183"/>
      <c r="D28" s="183"/>
      <c r="E28" s="234" t="s">
        <v>80</v>
      </c>
      <c r="F28" s="235"/>
      <c r="G28" s="95"/>
      <c r="H28" s="201"/>
      <c r="I28" s="201"/>
      <c r="J28" s="201"/>
      <c r="K28" s="201"/>
      <c r="L28" s="97"/>
      <c r="M28" s="97"/>
      <c r="N28" s="9"/>
      <c r="O28" s="19"/>
      <c r="P28" s="102"/>
      <c r="Q28" s="76"/>
      <c r="R28" s="77"/>
      <c r="S28" s="76"/>
      <c r="T28" s="77"/>
      <c r="U28" s="80"/>
      <c r="V28" s="27"/>
      <c r="W28" s="80"/>
      <c r="X28" s="27"/>
      <c r="Z28" s="7"/>
      <c r="AA28" s="7"/>
      <c r="AB28" s="7"/>
      <c r="AC28" s="7"/>
      <c r="AD28" s="7"/>
      <c r="AG28" s="17"/>
      <c r="AH28" s="17"/>
      <c r="AI28" s="17"/>
      <c r="AJ28" s="17"/>
      <c r="AK28" s="17"/>
      <c r="AV28"/>
      <c r="AW28"/>
      <c r="AX28"/>
      <c r="AY28"/>
      <c r="AZ28"/>
      <c r="BA28"/>
      <c r="BB28"/>
    </row>
    <row r="29" spans="1:54" ht="11.1" customHeight="1" x14ac:dyDescent="0.2">
      <c r="A29" s="183"/>
      <c r="B29" s="183"/>
      <c r="C29" s="183"/>
      <c r="D29" s="183"/>
      <c r="E29" s="236"/>
      <c r="F29" s="237"/>
      <c r="G29" s="95"/>
      <c r="H29" s="201"/>
      <c r="I29" s="201"/>
      <c r="J29" s="201"/>
      <c r="K29" s="201"/>
      <c r="L29" s="97"/>
      <c r="M29" s="97"/>
      <c r="N29" s="9"/>
      <c r="O29" s="19"/>
      <c r="P29" s="102"/>
      <c r="Q29" s="76"/>
      <c r="R29" s="77"/>
      <c r="S29" s="76"/>
      <c r="T29" s="77"/>
      <c r="U29" s="80"/>
      <c r="V29" s="27"/>
      <c r="W29" s="80"/>
      <c r="X29" s="82"/>
      <c r="Z29" s="7"/>
      <c r="AA29" s="7"/>
      <c r="AB29" s="7"/>
      <c r="AC29" s="7"/>
      <c r="AD29" s="7"/>
      <c r="AG29" s="17"/>
      <c r="AH29" s="17"/>
      <c r="AI29" s="17"/>
      <c r="AJ29" s="17"/>
      <c r="AK29" s="17"/>
      <c r="AV29"/>
      <c r="AW29"/>
      <c r="AX29"/>
      <c r="AY29"/>
      <c r="AZ29"/>
      <c r="BA29"/>
      <c r="BB29"/>
    </row>
    <row r="30" spans="1:54" ht="11.1" customHeight="1" x14ac:dyDescent="0.2">
      <c r="A30" s="183"/>
      <c r="B30" s="183"/>
      <c r="C30" s="183"/>
      <c r="D30" s="183"/>
      <c r="E30" s="187" t="s">
        <v>78</v>
      </c>
      <c r="F30" s="188"/>
      <c r="G30" s="95"/>
      <c r="H30" s="95"/>
      <c r="I30" s="109"/>
      <c r="J30" s="109"/>
      <c r="K30" s="109"/>
      <c r="L30" s="109"/>
      <c r="M30" s="109"/>
      <c r="N30" s="9"/>
      <c r="O30" s="19"/>
      <c r="P30" s="102"/>
      <c r="Q30" s="76"/>
      <c r="R30" s="77"/>
      <c r="S30" s="76"/>
      <c r="T30" s="77"/>
      <c r="U30" s="80"/>
      <c r="V30" s="27"/>
      <c r="W30" s="80"/>
      <c r="X30" s="27"/>
      <c r="Z30" s="7"/>
      <c r="AA30" s="7"/>
      <c r="AB30" s="7"/>
      <c r="AC30" s="7"/>
      <c r="AD30" s="7"/>
      <c r="AG30" s="17"/>
      <c r="AH30" s="17"/>
      <c r="AI30" s="17"/>
      <c r="AJ30" s="17"/>
      <c r="AK30" s="17"/>
      <c r="AV30"/>
      <c r="AW30"/>
      <c r="AX30"/>
      <c r="AY30"/>
      <c r="AZ30"/>
      <c r="BA30"/>
      <c r="BB30"/>
    </row>
    <row r="31" spans="1:54" ht="11.1" customHeight="1" x14ac:dyDescent="0.2">
      <c r="A31" s="183"/>
      <c r="B31" s="183"/>
      <c r="C31" s="183"/>
      <c r="D31" s="183"/>
      <c r="E31" s="189"/>
      <c r="F31" s="190"/>
      <c r="G31" s="111"/>
      <c r="H31" s="108"/>
      <c r="I31" s="109"/>
      <c r="J31" s="109"/>
      <c r="K31" s="109"/>
      <c r="L31" s="109"/>
      <c r="M31" s="109"/>
      <c r="N31" s="9"/>
      <c r="O31" s="19"/>
      <c r="P31" s="102"/>
      <c r="Q31" s="76"/>
      <c r="R31" s="83"/>
      <c r="S31" s="76"/>
      <c r="T31" s="77"/>
      <c r="U31" s="80"/>
      <c r="V31" s="27"/>
      <c r="W31" s="80"/>
      <c r="X31" s="84"/>
      <c r="Z31" s="7"/>
      <c r="AA31" s="7"/>
      <c r="AB31" s="7"/>
      <c r="AC31" s="7"/>
      <c r="AD31" s="7"/>
      <c r="AG31" s="17"/>
      <c r="AH31" s="17"/>
      <c r="AI31" s="17"/>
      <c r="AJ31" s="17"/>
      <c r="AK31" s="17"/>
      <c r="AV31"/>
      <c r="AW31"/>
      <c r="AX31"/>
      <c r="AY31"/>
      <c r="AZ31"/>
      <c r="BA31"/>
      <c r="BB31"/>
    </row>
    <row r="32" spans="1:54" ht="11.1" customHeight="1" x14ac:dyDescent="0.2">
      <c r="A32" s="183"/>
      <c r="B32" s="183"/>
      <c r="C32" s="183"/>
      <c r="D32" s="183"/>
      <c r="E32" s="189" t="s">
        <v>79</v>
      </c>
      <c r="F32" s="190"/>
      <c r="G32" s="111"/>
      <c r="H32" s="108"/>
      <c r="I32" s="109"/>
      <c r="J32" s="109"/>
      <c r="K32" s="109"/>
      <c r="L32" s="109"/>
      <c r="M32" s="109"/>
      <c r="N32" s="9"/>
      <c r="O32" s="19"/>
      <c r="P32" s="102"/>
      <c r="Q32" s="76"/>
      <c r="R32" s="83"/>
      <c r="S32" s="76"/>
      <c r="T32" s="81"/>
      <c r="U32" s="80"/>
      <c r="V32" s="82"/>
      <c r="W32" s="80"/>
      <c r="X32" s="85"/>
      <c r="Z32" s="7"/>
      <c r="AA32" s="7"/>
      <c r="AB32" s="7"/>
      <c r="AC32" s="7"/>
      <c r="AD32" s="7"/>
      <c r="AG32" s="17"/>
      <c r="AH32" s="17"/>
      <c r="AI32" s="17"/>
      <c r="AJ32" s="89"/>
      <c r="AK32" s="90"/>
      <c r="AL32" s="90"/>
      <c r="AM32" s="90"/>
      <c r="AN32" s="90"/>
      <c r="AO32" s="90"/>
      <c r="AP32" s="90"/>
      <c r="AQ32" s="90"/>
      <c r="AR32" s="90"/>
      <c r="AS32" s="90"/>
      <c r="AT32" s="90"/>
      <c r="AV32"/>
      <c r="AW32"/>
      <c r="AX32"/>
      <c r="AY32"/>
      <c r="AZ32"/>
      <c r="BA32"/>
      <c r="BB32"/>
    </row>
    <row r="33" spans="1:54" ht="11.1" customHeight="1" x14ac:dyDescent="0.2">
      <c r="A33" s="183"/>
      <c r="B33" s="183"/>
      <c r="C33" s="183"/>
      <c r="D33" s="183"/>
      <c r="E33" s="191"/>
      <c r="F33" s="192"/>
      <c r="G33" s="176"/>
      <c r="H33" s="176"/>
      <c r="I33" s="176"/>
      <c r="J33" s="176"/>
      <c r="K33" s="176"/>
      <c r="L33" s="176"/>
      <c r="M33" s="176"/>
      <c r="N33" s="10"/>
      <c r="O33" s="19"/>
      <c r="P33" s="72"/>
      <c r="Q33" s="72"/>
      <c r="R33" s="18"/>
      <c r="S33" s="18"/>
      <c r="T33" s="18"/>
      <c r="U33" s="80"/>
      <c r="V33" s="82"/>
      <c r="W33" s="80"/>
      <c r="X33" s="82"/>
      <c r="Z33" s="7"/>
      <c r="AA33" s="7"/>
      <c r="AB33" s="7"/>
      <c r="AC33" s="7"/>
      <c r="AD33" s="7"/>
      <c r="AG33" s="17"/>
      <c r="AH33" s="17"/>
      <c r="AI33" s="17"/>
      <c r="AJ33" s="90"/>
      <c r="AK33" s="90"/>
      <c r="AL33" s="90"/>
      <c r="AM33" s="90"/>
      <c r="AN33" s="90"/>
      <c r="AO33" s="90"/>
      <c r="AP33" s="90"/>
      <c r="AQ33" s="90"/>
      <c r="AR33" s="90"/>
      <c r="AS33" s="90"/>
      <c r="AT33" s="90"/>
      <c r="AV33"/>
      <c r="AW33"/>
      <c r="AX33"/>
      <c r="AY33"/>
      <c r="AZ33"/>
      <c r="BA33"/>
      <c r="BB33"/>
    </row>
    <row r="34" spans="1:54" ht="11.1" customHeight="1" x14ac:dyDescent="0.2">
      <c r="A34" s="183"/>
      <c r="B34" s="183"/>
      <c r="C34" s="183"/>
      <c r="D34" s="183"/>
      <c r="E34" s="101"/>
      <c r="F34" s="175" t="s">
        <v>89</v>
      </c>
      <c r="G34" s="175"/>
      <c r="H34" s="175"/>
      <c r="I34" s="101"/>
      <c r="J34" s="101"/>
      <c r="K34" s="177" t="s">
        <v>77</v>
      </c>
      <c r="L34" s="178"/>
      <c r="M34" s="179"/>
      <c r="N34" s="5"/>
      <c r="O34" s="5"/>
      <c r="P34" s="5"/>
      <c r="Q34" s="5"/>
      <c r="R34" s="5"/>
      <c r="T34" s="73"/>
      <c r="U34" s="73"/>
      <c r="V34" s="73"/>
      <c r="W34" s="73"/>
      <c r="X34" s="19"/>
      <c r="Y34" s="19"/>
      <c r="Z34" s="19"/>
      <c r="AA34" s="80"/>
      <c r="AB34" s="27"/>
      <c r="AF34" s="7"/>
      <c r="AK34" s="17"/>
      <c r="AP34" s="90"/>
      <c r="AQ34" s="90"/>
      <c r="AR34" s="90"/>
      <c r="AS34" s="90"/>
      <c r="AT34" s="90"/>
      <c r="AU34" s="90"/>
      <c r="AV34" s="90"/>
      <c r="AW34" s="90"/>
      <c r="AX34" s="90"/>
      <c r="AY34" s="90"/>
      <c r="AZ34" s="90"/>
      <c r="BB34"/>
    </row>
    <row r="35" spans="1:54" ht="11.1" customHeight="1" x14ac:dyDescent="0.2">
      <c r="A35" s="101"/>
      <c r="B35" s="101"/>
      <c r="C35" s="101"/>
      <c r="D35" s="101"/>
      <c r="E35" s="101"/>
      <c r="F35" s="175"/>
      <c r="G35" s="175"/>
      <c r="H35" s="175"/>
      <c r="I35" s="101"/>
      <c r="J35"/>
      <c r="K35" s="180"/>
      <c r="L35" s="181"/>
      <c r="M35" s="182"/>
      <c r="N35" s="5"/>
      <c r="O35" s="19"/>
      <c r="P35" s="73"/>
      <c r="Q35" s="73"/>
      <c r="R35" s="73"/>
      <c r="S35" s="19"/>
      <c r="T35" s="19"/>
      <c r="U35" s="19"/>
      <c r="V35" s="76"/>
      <c r="W35" s="83"/>
      <c r="AA35" s="7"/>
      <c r="AB35" s="7"/>
      <c r="AC35" s="7"/>
      <c r="AD35" s="7"/>
      <c r="AE35" s="7"/>
      <c r="AG35" s="17"/>
      <c r="AH35" s="17"/>
      <c r="AI35" s="17"/>
      <c r="AJ35" s="17"/>
      <c r="AK35" s="74"/>
      <c r="AL35" s="74"/>
      <c r="AM35" s="74"/>
      <c r="AN35" s="74"/>
      <c r="AO35" s="74"/>
      <c r="AP35" s="74"/>
      <c r="AQ35" s="74"/>
      <c r="AR35" s="91"/>
      <c r="AS35" s="74"/>
      <c r="AT35" s="74"/>
      <c r="AU35" s="74"/>
      <c r="AW35"/>
      <c r="AX35"/>
      <c r="AY35"/>
      <c r="AZ35"/>
      <c r="BA35"/>
      <c r="BB35"/>
    </row>
    <row r="36" spans="1:54" s="5" customFormat="1" ht="11.1" customHeight="1" x14ac:dyDescent="0.2">
      <c r="A36" s="100"/>
      <c r="B36" s="100"/>
      <c r="C36" s="100"/>
      <c r="D36" s="100"/>
      <c r="E36" s="55">
        <f>ROW()</f>
        <v>36</v>
      </c>
      <c r="F36" s="132" t="s">
        <v>0</v>
      </c>
      <c r="G36" s="132" t="s">
        <v>2</v>
      </c>
      <c r="H36" s="132" t="s">
        <v>1</v>
      </c>
      <c r="I36" s="105"/>
      <c r="K36" s="133" t="s">
        <v>0</v>
      </c>
      <c r="L36" s="133" t="s">
        <v>2</v>
      </c>
      <c r="M36" s="133" t="s">
        <v>1</v>
      </c>
      <c r="O36" s="75"/>
      <c r="P36" s="75"/>
      <c r="Q36" s="75"/>
      <c r="R36" s="75"/>
      <c r="S36" s="17"/>
      <c r="T36" s="86"/>
      <c r="U36" s="17"/>
      <c r="V36" s="17"/>
      <c r="W36" s="17"/>
      <c r="X36" s="17"/>
      <c r="Y36" s="17"/>
      <c r="Z36" s="17"/>
      <c r="AA36" s="7"/>
      <c r="AB36" s="7"/>
      <c r="AC36" s="7"/>
      <c r="AD36" s="7"/>
      <c r="AE36" s="7"/>
      <c r="AF36" s="17"/>
      <c r="AG36" s="17"/>
      <c r="AH36" s="17"/>
      <c r="AI36" s="17"/>
      <c r="AJ36" s="17"/>
      <c r="AK36" s="74"/>
      <c r="AL36" s="74"/>
      <c r="AM36" s="74"/>
      <c r="AN36" s="74"/>
      <c r="AO36" s="74"/>
      <c r="AP36" s="74"/>
      <c r="AQ36" s="74"/>
      <c r="AR36" s="74"/>
      <c r="AS36" s="74"/>
      <c r="AT36" s="74"/>
      <c r="AU36" s="74"/>
      <c r="AV36" s="17"/>
    </row>
    <row r="37" spans="1:54" ht="11.1" customHeight="1" x14ac:dyDescent="0.2">
      <c r="E37" s="113">
        <v>1</v>
      </c>
      <c r="F37" s="171">
        <v>-10</v>
      </c>
      <c r="G37" s="171">
        <v>-0.77410000000000001</v>
      </c>
      <c r="H37" s="171">
        <v>1.9709999999999998E-2</v>
      </c>
      <c r="I37" s="115"/>
      <c r="J37" s="115"/>
      <c r="K37" s="116">
        <f>calculations!AA56</f>
        <v>-10</v>
      </c>
      <c r="L37" s="117">
        <f ca="1">calculations!AF56</f>
        <v>-0.85669754110285601</v>
      </c>
      <c r="M37" s="118">
        <f ca="1">calculations!AK56</f>
        <v>1.4483930296128454E-2</v>
      </c>
      <c r="N37" s="112"/>
      <c r="O37" s="75"/>
      <c r="P37" s="75"/>
      <c r="Q37" s="75"/>
      <c r="R37" s="75"/>
      <c r="S37" s="17"/>
      <c r="T37" s="17"/>
      <c r="V37" s="17"/>
      <c r="W37" s="17"/>
      <c r="AA37" s="7"/>
      <c r="AB37" s="7"/>
      <c r="AC37" s="7"/>
      <c r="AD37" s="7"/>
      <c r="AE37" s="7"/>
      <c r="AG37" s="17"/>
      <c r="AH37" s="17"/>
      <c r="AI37" s="17"/>
      <c r="AJ37" s="17"/>
      <c r="AK37" s="88"/>
      <c r="AL37" s="75"/>
      <c r="AM37" s="75"/>
      <c r="AN37" s="75"/>
      <c r="AO37" s="75"/>
      <c r="AP37" s="75"/>
      <c r="AQ37" s="75"/>
      <c r="AR37" s="75"/>
      <c r="AS37" s="75"/>
      <c r="AT37" s="75"/>
      <c r="AU37" s="75"/>
      <c r="AW37"/>
      <c r="AX37"/>
      <c r="AY37"/>
      <c r="AZ37"/>
      <c r="BA37"/>
      <c r="BB37"/>
    </row>
    <row r="38" spans="1:54" s="115" customFormat="1" ht="11.1" customHeight="1" x14ac:dyDescent="0.2">
      <c r="A38" s="112"/>
      <c r="B38" s="112"/>
      <c r="C38" s="112"/>
      <c r="D38" s="112"/>
      <c r="E38" s="114">
        <v>2</v>
      </c>
      <c r="F38" s="171">
        <v>-9</v>
      </c>
      <c r="G38" s="171">
        <v>-0.72460000000000002</v>
      </c>
      <c r="H38" s="171">
        <v>1.6709999999999999E-2</v>
      </c>
      <c r="K38" s="116">
        <f>calculations!AA57</f>
        <v>-9</v>
      </c>
      <c r="L38" s="117">
        <f ca="1">calculations!AF57</f>
        <v>-0.77949521606029404</v>
      </c>
      <c r="M38" s="118">
        <f ca="1">calculations!AK57</f>
        <v>1.2015793215124628E-2</v>
      </c>
      <c r="N38" s="112"/>
      <c r="O38" s="119"/>
      <c r="P38" s="119"/>
      <c r="Q38" s="119"/>
      <c r="R38" s="119"/>
      <c r="S38" s="120"/>
      <c r="T38" s="120"/>
      <c r="U38" s="120"/>
      <c r="V38" s="120"/>
      <c r="W38" s="120"/>
      <c r="X38" s="120"/>
      <c r="Y38" s="120"/>
      <c r="Z38" s="120"/>
      <c r="AA38" s="121"/>
      <c r="AB38" s="121"/>
      <c r="AC38" s="121"/>
      <c r="AD38" s="121"/>
      <c r="AE38" s="121"/>
      <c r="AF38" s="120"/>
      <c r="AG38" s="120"/>
      <c r="AH38" s="120"/>
      <c r="AI38" s="120"/>
      <c r="AJ38" s="120"/>
      <c r="AK38" s="122"/>
      <c r="AL38" s="119"/>
      <c r="AM38" s="119"/>
      <c r="AN38" s="119"/>
      <c r="AO38" s="119"/>
      <c r="AP38" s="119"/>
      <c r="AQ38" s="119"/>
      <c r="AR38" s="119"/>
      <c r="AS38" s="119"/>
      <c r="AT38" s="119"/>
      <c r="AU38" s="119"/>
      <c r="AV38" s="120"/>
    </row>
    <row r="39" spans="1:54" s="115" customFormat="1" ht="11.1" customHeight="1" x14ac:dyDescent="0.2">
      <c r="A39" s="112"/>
      <c r="B39" s="112"/>
      <c r="C39" s="112"/>
      <c r="D39" s="112"/>
      <c r="E39" s="114">
        <v>3</v>
      </c>
      <c r="F39" s="171">
        <v>-8</v>
      </c>
      <c r="G39" s="171">
        <v>-0.67400000000000004</v>
      </c>
      <c r="H39" s="171">
        <v>1.4970000000000001E-2</v>
      </c>
      <c r="K39" s="116">
        <f>calculations!AA58</f>
        <v>-8</v>
      </c>
      <c r="L39" s="117">
        <f ca="1">calculations!AF58</f>
        <v>-0.69388254047973918</v>
      </c>
      <c r="M39" s="118">
        <f ca="1">calculations!AK58</f>
        <v>1.0267695332565061E-2</v>
      </c>
      <c r="N39" s="112"/>
      <c r="O39" s="119"/>
      <c r="P39" s="119"/>
      <c r="Q39" s="119"/>
      <c r="R39" s="119"/>
      <c r="S39" s="120"/>
      <c r="T39" s="120"/>
      <c r="U39" s="120"/>
      <c r="V39" s="120"/>
      <c r="W39" s="120"/>
      <c r="X39" s="120"/>
      <c r="Y39" s="120"/>
      <c r="Z39" s="120"/>
      <c r="AA39" s="121"/>
      <c r="AB39" s="121"/>
      <c r="AC39" s="121"/>
      <c r="AD39" s="121"/>
      <c r="AE39" s="121"/>
      <c r="AF39" s="120"/>
      <c r="AG39" s="120"/>
      <c r="AH39" s="120"/>
      <c r="AI39" s="120"/>
      <c r="AJ39" s="120"/>
      <c r="AK39" s="122"/>
      <c r="AL39" s="119"/>
      <c r="AM39" s="119"/>
      <c r="AN39" s="119"/>
      <c r="AO39" s="119"/>
      <c r="AP39" s="119"/>
      <c r="AQ39" s="119"/>
      <c r="AR39" s="119"/>
      <c r="AS39" s="119"/>
      <c r="AT39" s="119"/>
      <c r="AU39" s="119"/>
      <c r="AV39" s="120"/>
    </row>
    <row r="40" spans="1:54" s="115" customFormat="1" ht="11.1" customHeight="1" x14ac:dyDescent="0.2">
      <c r="A40" s="112"/>
      <c r="B40" s="112"/>
      <c r="C40" s="112"/>
      <c r="D40" s="112"/>
      <c r="E40" s="114">
        <v>4</v>
      </c>
      <c r="F40" s="171">
        <v>-7</v>
      </c>
      <c r="G40" s="171">
        <v>-0.59370000000000001</v>
      </c>
      <c r="H40" s="171">
        <v>1.304E-2</v>
      </c>
      <c r="K40" s="116">
        <f>calculations!AA59</f>
        <v>-7</v>
      </c>
      <c r="L40" s="117">
        <f ca="1">calculations!AF59</f>
        <v>-0.60085954884677772</v>
      </c>
      <c r="M40" s="118">
        <f ca="1">calculations!AK59</f>
        <v>9.0931327647544129E-3</v>
      </c>
      <c r="N40" s="112"/>
      <c r="O40" s="119"/>
      <c r="P40" s="119"/>
      <c r="Q40" s="119"/>
      <c r="R40" s="119"/>
      <c r="S40" s="120"/>
      <c r="T40" s="120"/>
      <c r="U40" s="120"/>
      <c r="V40" s="120"/>
      <c r="W40" s="120"/>
      <c r="X40" s="120"/>
      <c r="Y40" s="120"/>
      <c r="Z40" s="120"/>
      <c r="AA40" s="121"/>
      <c r="AB40" s="121"/>
      <c r="AC40" s="121"/>
      <c r="AD40" s="121"/>
      <c r="AE40" s="121"/>
      <c r="AF40" s="120"/>
      <c r="AG40" s="120"/>
      <c r="AH40" s="120"/>
      <c r="AI40" s="120"/>
      <c r="AJ40" s="120"/>
      <c r="AK40" s="122"/>
      <c r="AL40" s="119"/>
      <c r="AM40" s="119"/>
      <c r="AN40" s="119"/>
      <c r="AO40" s="119"/>
      <c r="AP40" s="119"/>
      <c r="AQ40" s="119"/>
      <c r="AR40" s="119"/>
      <c r="AS40" s="119"/>
      <c r="AT40" s="119"/>
      <c r="AU40" s="119"/>
      <c r="AV40" s="120"/>
    </row>
    <row r="41" spans="1:54" s="115" customFormat="1" ht="11.1" customHeight="1" x14ac:dyDescent="0.2">
      <c r="A41" s="112"/>
      <c r="B41" s="112"/>
      <c r="C41" s="112"/>
      <c r="D41" s="112"/>
      <c r="E41" s="114">
        <v>5</v>
      </c>
      <c r="F41" s="171">
        <v>-6</v>
      </c>
      <c r="G41" s="171">
        <v>-0.497</v>
      </c>
      <c r="H41" s="171">
        <v>1.166E-2</v>
      </c>
      <c r="K41" s="116">
        <f>calculations!AA60</f>
        <v>-6</v>
      </c>
      <c r="L41" s="117">
        <f ca="1">calculations!AF60</f>
        <v>-0.50144369239516851</v>
      </c>
      <c r="M41" s="118">
        <f ca="1">calculations!AK60</f>
        <v>8.3585147339335364E-3</v>
      </c>
      <c r="N41" s="112"/>
      <c r="O41" s="119"/>
      <c r="P41" s="119"/>
      <c r="Q41" s="119"/>
      <c r="R41" s="119"/>
      <c r="S41" s="120"/>
      <c r="T41" s="120"/>
      <c r="U41" s="120"/>
      <c r="V41" s="120"/>
      <c r="W41" s="120"/>
      <c r="X41" s="120"/>
      <c r="Y41" s="120"/>
      <c r="Z41" s="120"/>
      <c r="AA41" s="121"/>
      <c r="AB41" s="121"/>
      <c r="AC41" s="121"/>
      <c r="AD41" s="121"/>
      <c r="AE41" s="121"/>
      <c r="AF41" s="120"/>
      <c r="AG41" s="120"/>
      <c r="AH41" s="120"/>
      <c r="AI41" s="120"/>
      <c r="AJ41" s="120"/>
      <c r="AK41" s="122"/>
      <c r="AL41" s="119"/>
      <c r="AM41" s="119"/>
      <c r="AN41" s="119"/>
      <c r="AO41" s="119"/>
      <c r="AP41" s="119"/>
      <c r="AQ41" s="119"/>
      <c r="AR41" s="119"/>
      <c r="AS41" s="119"/>
      <c r="AT41" s="119"/>
      <c r="AU41" s="119"/>
      <c r="AV41" s="120"/>
    </row>
    <row r="42" spans="1:54" s="115" customFormat="1" ht="11.1" customHeight="1" x14ac:dyDescent="0.2">
      <c r="A42" s="112"/>
      <c r="B42" s="112"/>
      <c r="C42" s="112"/>
      <c r="D42" s="112"/>
      <c r="E42" s="114">
        <v>6</v>
      </c>
      <c r="F42" s="171">
        <v>-5</v>
      </c>
      <c r="G42" s="171">
        <v>-0.39960000000000001</v>
      </c>
      <c r="H42" s="171">
        <v>9.4500000000000001E-3</v>
      </c>
      <c r="K42" s="116">
        <f>calculations!AA61</f>
        <v>-5</v>
      </c>
      <c r="L42" s="117">
        <f ca="1">calculations!AF61</f>
        <v>-0.39667345314522073</v>
      </c>
      <c r="M42" s="118">
        <f ca="1">calculations!AK61</f>
        <v>7.9440634821503122E-3</v>
      </c>
      <c r="N42" s="112"/>
      <c r="O42" s="119"/>
      <c r="P42" s="119"/>
      <c r="Q42" s="119"/>
      <c r="R42" s="119"/>
      <c r="S42" s="120"/>
      <c r="T42" s="120"/>
      <c r="U42" s="120"/>
      <c r="V42" s="120"/>
      <c r="W42" s="120"/>
      <c r="X42" s="120"/>
      <c r="Y42" s="120"/>
      <c r="Z42" s="120"/>
      <c r="AA42" s="121"/>
      <c r="AB42" s="121"/>
      <c r="AC42" s="121"/>
      <c r="AD42" s="121"/>
      <c r="AE42" s="121"/>
      <c r="AF42" s="120"/>
      <c r="AG42" s="120"/>
      <c r="AH42" s="120"/>
      <c r="AI42" s="120"/>
      <c r="AJ42" s="120"/>
      <c r="AK42" s="122"/>
      <c r="AL42" s="119"/>
      <c r="AM42" s="119"/>
      <c r="AN42" s="119"/>
      <c r="AO42" s="119"/>
      <c r="AP42" s="119"/>
      <c r="AQ42" s="119"/>
      <c r="AR42" s="119"/>
      <c r="AS42" s="119"/>
      <c r="AT42" s="119"/>
      <c r="AU42" s="119"/>
      <c r="AV42" s="120"/>
    </row>
    <row r="43" spans="1:54" s="115" customFormat="1" ht="11.1" customHeight="1" x14ac:dyDescent="0.2">
      <c r="A43" s="112"/>
      <c r="B43" s="112"/>
      <c r="C43" s="112"/>
      <c r="D43" s="112"/>
      <c r="E43" s="114">
        <v>7</v>
      </c>
      <c r="F43" s="171">
        <v>-4</v>
      </c>
      <c r="G43" s="171">
        <v>-0.29170000000000001</v>
      </c>
      <c r="H43" s="171">
        <v>7.9299999999999995E-3</v>
      </c>
      <c r="K43" s="116">
        <f>calculations!AA62</f>
        <v>-4</v>
      </c>
      <c r="L43" s="117">
        <f ca="1">calculations!AF62</f>
        <v>-0.28761374065938949</v>
      </c>
      <c r="M43" s="118">
        <f ca="1">calculations!AK62</f>
        <v>7.7449847909909697E-3</v>
      </c>
      <c r="N43" s="112"/>
      <c r="O43" s="119"/>
      <c r="P43" s="119"/>
      <c r="Q43" s="119"/>
      <c r="R43" s="119"/>
      <c r="S43" s="120"/>
      <c r="T43" s="120"/>
      <c r="U43" s="120"/>
      <c r="V43" s="120"/>
      <c r="W43" s="120"/>
      <c r="X43" s="120"/>
      <c r="Y43" s="120"/>
      <c r="Z43" s="120"/>
      <c r="AA43" s="121"/>
      <c r="AB43" s="121"/>
      <c r="AC43" s="121"/>
      <c r="AD43" s="121"/>
      <c r="AE43" s="121"/>
      <c r="AF43" s="120"/>
      <c r="AG43" s="120"/>
      <c r="AH43" s="120"/>
      <c r="AI43" s="120"/>
      <c r="AJ43" s="120"/>
      <c r="AK43" s="122"/>
      <c r="AL43" s="119"/>
      <c r="AM43" s="119"/>
      <c r="AN43" s="119"/>
      <c r="AO43" s="119"/>
      <c r="AP43" s="119"/>
      <c r="AQ43" s="119"/>
      <c r="AR43" s="119"/>
      <c r="AS43" s="119"/>
      <c r="AT43" s="119"/>
      <c r="AU43" s="119"/>
      <c r="AV43" s="120"/>
    </row>
    <row r="44" spans="1:54" s="115" customFormat="1" ht="11.1" customHeight="1" x14ac:dyDescent="0.2">
      <c r="A44" s="112"/>
      <c r="B44" s="112"/>
      <c r="C44" s="112"/>
      <c r="D44" s="112"/>
      <c r="E44" s="114">
        <v>8</v>
      </c>
      <c r="F44" s="171">
        <v>-3</v>
      </c>
      <c r="G44" s="171">
        <v>-0.17760000000000001</v>
      </c>
      <c r="H44" s="171">
        <v>7.6299999999999996E-3</v>
      </c>
      <c r="K44" s="116">
        <f>calculations!AA63</f>
        <v>-3</v>
      </c>
      <c r="L44" s="117">
        <f ca="1">calculations!AF63</f>
        <v>-0.17536481742902313</v>
      </c>
      <c r="M44" s="118">
        <f ca="1">calculations!AK63</f>
        <v>7.6730923433398421E-3</v>
      </c>
      <c r="N44" s="112"/>
      <c r="O44" s="119"/>
      <c r="P44" s="119"/>
      <c r="Q44" s="119"/>
      <c r="R44" s="119"/>
      <c r="S44" s="120"/>
      <c r="T44" s="120"/>
      <c r="U44" s="120"/>
      <c r="V44" s="120"/>
      <c r="W44" s="120"/>
      <c r="X44" s="120"/>
      <c r="Y44" s="120"/>
      <c r="Z44" s="120"/>
      <c r="AA44" s="121"/>
      <c r="AB44" s="121"/>
      <c r="AC44" s="121"/>
      <c r="AD44" s="121"/>
      <c r="AE44" s="121"/>
      <c r="AF44" s="120"/>
      <c r="AG44" s="120"/>
      <c r="AH44" s="120"/>
      <c r="AI44" s="120"/>
      <c r="AJ44" s="120"/>
      <c r="AK44" s="122"/>
      <c r="AL44" s="119"/>
      <c r="AM44" s="119"/>
      <c r="AN44" s="119"/>
      <c r="AO44" s="119"/>
      <c r="AP44" s="119"/>
      <c r="AQ44" s="119"/>
      <c r="AR44" s="119"/>
      <c r="AS44" s="119"/>
      <c r="AT44" s="119"/>
      <c r="AU44" s="119"/>
      <c r="AV44" s="120"/>
    </row>
    <row r="45" spans="1:54" s="115" customFormat="1" ht="11.1" customHeight="1" x14ac:dyDescent="0.2">
      <c r="A45" s="112"/>
      <c r="B45" s="112"/>
      <c r="C45" s="112"/>
      <c r="D45" s="112"/>
      <c r="E45" s="114">
        <v>9</v>
      </c>
      <c r="F45" s="171">
        <v>-2</v>
      </c>
      <c r="G45" s="171">
        <v>-6.1800000000000001E-2</v>
      </c>
      <c r="H45" s="171">
        <v>7.5900000000000004E-3</v>
      </c>
      <c r="K45" s="116">
        <f>calculations!AA64</f>
        <v>-2</v>
      </c>
      <c r="L45" s="117">
        <f ca="1">calculations!AF64</f>
        <v>-6.1080066025808351E-2</v>
      </c>
      <c r="M45" s="118">
        <f ca="1">calculations!AK64</f>
        <v>7.6593315310145068E-3</v>
      </c>
      <c r="N45" s="112"/>
      <c r="O45" s="119"/>
      <c r="P45" s="119"/>
      <c r="Q45" s="119"/>
      <c r="R45" s="119"/>
      <c r="S45" s="120"/>
      <c r="T45" s="120"/>
      <c r="U45" s="120"/>
      <c r="V45" s="120"/>
      <c r="W45" s="120"/>
      <c r="X45" s="120"/>
      <c r="Y45" s="120"/>
      <c r="Z45" s="120"/>
      <c r="AA45" s="121"/>
      <c r="AB45" s="121"/>
      <c r="AC45" s="121"/>
      <c r="AD45" s="121"/>
      <c r="AE45" s="121"/>
      <c r="AF45" s="120"/>
      <c r="AG45" s="120"/>
      <c r="AH45" s="120"/>
      <c r="AI45" s="120"/>
      <c r="AJ45" s="120"/>
      <c r="AK45" s="122"/>
      <c r="AL45" s="119"/>
      <c r="AM45" s="119"/>
      <c r="AN45" s="119"/>
      <c r="AO45" s="119"/>
      <c r="AP45" s="119"/>
      <c r="AQ45" s="119"/>
      <c r="AR45" s="119"/>
      <c r="AS45" s="119"/>
      <c r="AT45" s="119"/>
      <c r="AU45" s="119"/>
      <c r="AV45" s="120"/>
    </row>
    <row r="46" spans="1:54" s="115" customFormat="1" ht="11.1" customHeight="1" x14ac:dyDescent="0.2">
      <c r="A46" s="112"/>
      <c r="B46" s="112"/>
      <c r="C46" s="112"/>
      <c r="D46" s="112"/>
      <c r="E46" s="114">
        <v>10</v>
      </c>
      <c r="F46" s="171">
        <v>-1</v>
      </c>
      <c r="G46" s="171">
        <v>5.4600000000000003E-2</v>
      </c>
      <c r="H46" s="171">
        <v>7.7200000000000003E-3</v>
      </c>
      <c r="K46" s="116">
        <f>calculations!AA65</f>
        <v>-1</v>
      </c>
      <c r="L46" s="117">
        <f ca="1">calculations!AF65</f>
        <v>5.3971538869055161E-2</v>
      </c>
      <c r="M46" s="118">
        <f ca="1">calculations!AK65</f>
        <v>7.6592196735733795E-3</v>
      </c>
      <c r="N46" s="112"/>
      <c r="O46" s="119"/>
      <c r="P46" s="119"/>
      <c r="Q46" s="119"/>
      <c r="R46" s="119"/>
      <c r="S46" s="120"/>
      <c r="T46" s="120"/>
      <c r="U46" s="120"/>
      <c r="V46" s="120"/>
      <c r="W46" s="120"/>
      <c r="X46" s="120"/>
      <c r="Y46" s="120"/>
      <c r="Z46" s="120"/>
      <c r="AA46" s="121"/>
      <c r="AB46" s="121"/>
      <c r="AC46" s="121"/>
      <c r="AD46" s="121"/>
      <c r="AE46" s="121"/>
      <c r="AF46" s="120"/>
      <c r="AG46" s="120"/>
      <c r="AH46" s="120"/>
      <c r="AI46" s="120"/>
      <c r="AJ46" s="120"/>
      <c r="AK46" s="122"/>
      <c r="AL46" s="119"/>
      <c r="AM46" s="119"/>
      <c r="AN46" s="119"/>
      <c r="AO46" s="119"/>
      <c r="AP46" s="119"/>
      <c r="AQ46" s="119"/>
      <c r="AR46" s="119"/>
      <c r="AS46" s="119"/>
      <c r="AT46" s="119"/>
      <c r="AU46" s="119"/>
      <c r="AV46" s="120"/>
    </row>
    <row r="47" spans="1:54" s="115" customFormat="1" ht="11.1" customHeight="1" x14ac:dyDescent="0.2">
      <c r="A47" s="112"/>
      <c r="B47" s="112"/>
      <c r="C47" s="112"/>
      <c r="D47" s="112"/>
      <c r="E47" s="114">
        <v>11</v>
      </c>
      <c r="F47" s="171">
        <v>0</v>
      </c>
      <c r="G47" s="171">
        <v>0.1709</v>
      </c>
      <c r="H47" s="171">
        <v>7.6400000000000001E-3</v>
      </c>
      <c r="K47" s="116">
        <f>calculations!AA66</f>
        <v>0</v>
      </c>
      <c r="L47" s="117">
        <f ca="1">calculations!AF66</f>
        <v>0.16834250284379937</v>
      </c>
      <c r="M47" s="118">
        <f ca="1">calculations!AK66</f>
        <v>7.6711507529069137E-3</v>
      </c>
      <c r="N47" s="112"/>
      <c r="O47" s="119"/>
      <c r="P47" s="119"/>
      <c r="Q47" s="119"/>
      <c r="R47" s="119"/>
      <c r="S47" s="120"/>
      <c r="T47" s="120"/>
      <c r="U47" s="120"/>
      <c r="V47" s="120"/>
      <c r="W47" s="120"/>
      <c r="X47" s="120"/>
      <c r="Y47" s="120"/>
      <c r="Z47" s="120"/>
      <c r="AA47" s="121"/>
      <c r="AB47" s="121"/>
      <c r="AC47" s="121"/>
      <c r="AD47" s="121"/>
      <c r="AE47" s="121"/>
      <c r="AF47" s="120"/>
      <c r="AG47" s="120"/>
      <c r="AH47" s="120"/>
      <c r="AI47" s="120"/>
      <c r="AJ47" s="120"/>
      <c r="AK47" s="122"/>
      <c r="AL47" s="119"/>
      <c r="AM47" s="119"/>
      <c r="AN47" s="119"/>
      <c r="AO47" s="119"/>
      <c r="AP47" s="119"/>
      <c r="AQ47" s="119"/>
      <c r="AR47" s="119"/>
      <c r="AS47" s="119"/>
      <c r="AT47" s="119"/>
      <c r="AU47" s="119"/>
      <c r="AV47" s="120"/>
    </row>
    <row r="48" spans="1:54" s="115" customFormat="1" ht="11.1" customHeight="1" x14ac:dyDescent="0.2">
      <c r="A48" s="112"/>
      <c r="B48" s="112"/>
      <c r="C48" s="112"/>
      <c r="D48" s="112"/>
      <c r="E48" s="114">
        <v>12</v>
      </c>
      <c r="F48" s="171">
        <v>1</v>
      </c>
      <c r="G48" s="171">
        <v>0.28710000000000002</v>
      </c>
      <c r="H48" s="171">
        <v>7.77E-3</v>
      </c>
      <c r="K48" s="116">
        <f>calculations!AA67</f>
        <v>1</v>
      </c>
      <c r="L48" s="117">
        <f ca="1">calculations!AF67</f>
        <v>0.28075151377903645</v>
      </c>
      <c r="M48" s="118">
        <f ca="1">calculations!AK67</f>
        <v>7.7376585286974033E-3</v>
      </c>
      <c r="N48" s="112"/>
      <c r="O48" s="119"/>
      <c r="P48" s="119"/>
      <c r="Q48" s="119"/>
      <c r="R48" s="119"/>
      <c r="S48" s="120"/>
      <c r="T48" s="120"/>
      <c r="U48" s="120"/>
      <c r="V48" s="120"/>
      <c r="W48" s="120"/>
      <c r="X48" s="120"/>
      <c r="Y48" s="120"/>
      <c r="Z48" s="120"/>
      <c r="AA48" s="121"/>
      <c r="AB48" s="121"/>
      <c r="AC48" s="121"/>
      <c r="AD48" s="121"/>
      <c r="AE48" s="121"/>
      <c r="AF48" s="120"/>
      <c r="AG48" s="120"/>
      <c r="AH48" s="120"/>
      <c r="AI48" s="120"/>
      <c r="AJ48" s="120"/>
      <c r="AK48" s="122"/>
      <c r="AL48" s="119"/>
      <c r="AM48" s="119"/>
      <c r="AN48" s="119"/>
      <c r="AO48" s="119"/>
      <c r="AP48" s="119"/>
      <c r="AQ48" s="119"/>
      <c r="AR48" s="119"/>
      <c r="AS48" s="119"/>
      <c r="AT48" s="119"/>
      <c r="AU48" s="119"/>
      <c r="AV48" s="120"/>
    </row>
    <row r="49" spans="1:48" s="115" customFormat="1" ht="11.1" customHeight="1" x14ac:dyDescent="0.2">
      <c r="A49" s="112"/>
      <c r="B49" s="112"/>
      <c r="C49" s="112"/>
      <c r="D49" s="112"/>
      <c r="E49" s="114">
        <v>13</v>
      </c>
      <c r="F49" s="171">
        <v>2</v>
      </c>
      <c r="G49" s="171">
        <v>0.40229999999999999</v>
      </c>
      <c r="H49" s="171">
        <v>7.8499999999999993E-3</v>
      </c>
      <c r="K49" s="116">
        <f>calculations!AA68</f>
        <v>2</v>
      </c>
      <c r="L49" s="117">
        <f ca="1">calculations!AF68</f>
        <v>0.39004084983101123</v>
      </c>
      <c r="M49" s="118">
        <f ca="1">calculations!AK68</f>
        <v>7.9264926315426622E-3</v>
      </c>
      <c r="N49" s="112"/>
      <c r="O49" s="119"/>
      <c r="P49" s="119"/>
      <c r="Q49" s="119"/>
      <c r="R49" s="119"/>
      <c r="S49" s="120"/>
      <c r="T49" s="120"/>
      <c r="U49" s="120"/>
      <c r="V49" s="120"/>
      <c r="W49" s="120"/>
      <c r="X49" s="120"/>
      <c r="Y49" s="120"/>
      <c r="Z49" s="120"/>
      <c r="AA49" s="121"/>
      <c r="AB49" s="121"/>
      <c r="AC49" s="121"/>
      <c r="AD49" s="121"/>
      <c r="AE49" s="121"/>
      <c r="AF49" s="120"/>
      <c r="AG49" s="120"/>
      <c r="AH49" s="120"/>
      <c r="AI49" s="120"/>
      <c r="AJ49" s="120"/>
      <c r="AK49" s="122"/>
      <c r="AL49" s="119"/>
      <c r="AM49" s="119"/>
      <c r="AN49" s="119"/>
      <c r="AO49" s="119"/>
      <c r="AP49" s="119"/>
      <c r="AQ49" s="119"/>
      <c r="AR49" s="119"/>
      <c r="AS49" s="119"/>
      <c r="AT49" s="119"/>
      <c r="AU49" s="119"/>
      <c r="AV49" s="120"/>
    </row>
    <row r="50" spans="1:48" s="115" customFormat="1" ht="11.1" customHeight="1" x14ac:dyDescent="0.2">
      <c r="A50" s="112"/>
      <c r="B50" s="112"/>
      <c r="C50" s="112"/>
      <c r="D50" s="112"/>
      <c r="E50" s="114">
        <v>14</v>
      </c>
      <c r="F50" s="171">
        <v>3</v>
      </c>
      <c r="G50" s="171">
        <v>0.51619999999999999</v>
      </c>
      <c r="H50" s="171">
        <v>8.0800000000000004E-3</v>
      </c>
      <c r="K50" s="116">
        <f>calculations!AA69</f>
        <v>3</v>
      </c>
      <c r="L50" s="117">
        <f ca="1">calculations!AF69</f>
        <v>0.49510762394530006</v>
      </c>
      <c r="M50" s="118">
        <f ca="1">calculations!AK69</f>
        <v>8.3247425521308701E-3</v>
      </c>
      <c r="N50" s="112"/>
      <c r="O50" s="119"/>
      <c r="P50" s="119"/>
      <c r="Q50" s="119"/>
      <c r="R50" s="119"/>
      <c r="S50" s="120"/>
      <c r="T50" s="120"/>
      <c r="U50" s="120"/>
      <c r="V50" s="120"/>
      <c r="W50" s="120"/>
      <c r="X50" s="120"/>
      <c r="Y50" s="120"/>
      <c r="Z50" s="120"/>
      <c r="AA50" s="121"/>
      <c r="AB50" s="121"/>
      <c r="AC50" s="121"/>
      <c r="AD50" s="121"/>
      <c r="AE50" s="121"/>
      <c r="AF50" s="120"/>
      <c r="AG50" s="120"/>
      <c r="AH50" s="120"/>
      <c r="AI50" s="120"/>
      <c r="AJ50" s="120"/>
      <c r="AK50" s="122"/>
      <c r="AL50" s="119"/>
      <c r="AM50" s="119"/>
      <c r="AN50" s="119"/>
      <c r="AO50" s="119"/>
      <c r="AP50" s="119"/>
      <c r="AQ50" s="119"/>
      <c r="AR50" s="119"/>
      <c r="AS50" s="119"/>
      <c r="AT50" s="119"/>
      <c r="AU50" s="119"/>
      <c r="AV50" s="120"/>
    </row>
    <row r="51" spans="1:48" s="115" customFormat="1" ht="11.1" customHeight="1" x14ac:dyDescent="0.2">
      <c r="A51" s="112"/>
      <c r="B51" s="112"/>
      <c r="C51" s="112"/>
      <c r="D51" s="112"/>
      <c r="E51" s="114">
        <v>15</v>
      </c>
      <c r="F51" s="171">
        <v>4</v>
      </c>
      <c r="G51" s="171">
        <v>0.62660000000000005</v>
      </c>
      <c r="H51" s="171">
        <v>8.26E-3</v>
      </c>
      <c r="K51" s="116">
        <f>calculations!AA70</f>
        <v>4</v>
      </c>
      <c r="L51" s="117">
        <f ca="1">calculations!AF70</f>
        <v>0.59488505038798334</v>
      </c>
      <c r="M51" s="118">
        <f ca="1">calculations!AK70</f>
        <v>9.0362284924942835E-3</v>
      </c>
      <c r="N51" s="112"/>
      <c r="O51" s="119"/>
      <c r="P51" s="119"/>
      <c r="Q51" s="119"/>
      <c r="R51" s="119"/>
      <c r="S51" s="120"/>
      <c r="T51" s="120"/>
      <c r="U51" s="120"/>
      <c r="V51" s="120"/>
      <c r="W51" s="120"/>
      <c r="X51" s="120"/>
      <c r="Y51" s="120"/>
      <c r="Z51" s="120"/>
      <c r="AA51" s="121"/>
      <c r="AB51" s="121"/>
      <c r="AC51" s="121"/>
      <c r="AD51" s="121"/>
      <c r="AE51" s="121"/>
      <c r="AF51" s="120"/>
      <c r="AG51" s="120"/>
      <c r="AH51" s="120"/>
      <c r="AI51" s="120"/>
      <c r="AJ51" s="120"/>
      <c r="AK51" s="122"/>
      <c r="AL51" s="119"/>
      <c r="AM51" s="119"/>
      <c r="AN51" s="119"/>
      <c r="AO51" s="119"/>
      <c r="AP51" s="119"/>
      <c r="AQ51" s="119"/>
      <c r="AR51" s="119"/>
      <c r="AS51" s="119"/>
      <c r="AT51" s="119"/>
      <c r="AU51" s="119"/>
      <c r="AV51" s="120"/>
    </row>
    <row r="52" spans="1:48" s="115" customFormat="1" ht="11.1" customHeight="1" x14ac:dyDescent="0.2">
      <c r="A52" s="112"/>
      <c r="B52" s="112"/>
      <c r="C52" s="112"/>
      <c r="D52" s="112"/>
      <c r="E52" s="114">
        <v>16</v>
      </c>
      <c r="F52" s="171">
        <v>5</v>
      </c>
      <c r="G52" s="171">
        <v>0.73280000000000001</v>
      </c>
      <c r="H52" s="171">
        <v>8.9499999999999996E-3</v>
      </c>
      <c r="K52" s="116">
        <f>calculations!AA71</f>
        <v>5</v>
      </c>
      <c r="L52" s="117">
        <f ca="1">calculations!AF71</f>
        <v>0.68833319341068389</v>
      </c>
      <c r="M52" s="118">
        <f ca="1">calculations!AK71</f>
        <v>1.0179838831362415E-2</v>
      </c>
      <c r="N52" s="112"/>
      <c r="O52" s="119"/>
      <c r="P52" s="119"/>
      <c r="Q52" s="119"/>
      <c r="R52" s="119"/>
      <c r="S52" s="120"/>
      <c r="T52" s="120"/>
      <c r="U52" s="120"/>
      <c r="V52" s="120"/>
      <c r="W52" s="120"/>
      <c r="X52" s="120"/>
      <c r="Y52" s="120"/>
      <c r="Z52" s="120"/>
      <c r="AA52" s="121"/>
      <c r="AB52" s="121"/>
      <c r="AC52" s="121"/>
      <c r="AD52" s="121"/>
      <c r="AE52" s="121"/>
      <c r="AF52" s="120"/>
      <c r="AG52" s="120"/>
      <c r="AH52" s="120"/>
      <c r="AI52" s="120"/>
      <c r="AJ52" s="120"/>
      <c r="AK52" s="122"/>
      <c r="AL52" s="119"/>
      <c r="AM52" s="119"/>
      <c r="AN52" s="119"/>
      <c r="AO52" s="119"/>
      <c r="AP52" s="119"/>
      <c r="AQ52" s="119"/>
      <c r="AR52" s="119"/>
      <c r="AS52" s="119"/>
      <c r="AT52" s="119"/>
      <c r="AU52" s="119"/>
      <c r="AV52" s="120"/>
    </row>
    <row r="53" spans="1:48" s="115" customFormat="1" ht="11.1" customHeight="1" x14ac:dyDescent="0.2">
      <c r="A53" s="112"/>
      <c r="B53" s="112"/>
      <c r="C53" s="112"/>
      <c r="D53" s="112"/>
      <c r="E53" s="114">
        <v>17</v>
      </c>
      <c r="F53" s="171">
        <v>6</v>
      </c>
      <c r="G53" s="171">
        <v>0.81640000000000001</v>
      </c>
      <c r="H53" s="171">
        <v>1.1169999999999999E-2</v>
      </c>
      <c r="K53" s="116">
        <f>calculations!AA72</f>
        <v>6</v>
      </c>
      <c r="L53" s="117">
        <f ca="1">calculations!AF72</f>
        <v>0.77443341920317077</v>
      </c>
      <c r="M53" s="118">
        <f ca="1">calculations!AK72</f>
        <v>1.1888338248141957E-2</v>
      </c>
      <c r="N53" s="112"/>
      <c r="O53" s="119"/>
      <c r="P53" s="119"/>
      <c r="Q53" s="119"/>
      <c r="R53" s="119"/>
      <c r="S53" s="120"/>
      <c r="T53" s="120"/>
      <c r="U53" s="120"/>
      <c r="V53" s="120"/>
      <c r="W53" s="120"/>
      <c r="X53" s="120"/>
      <c r="Y53" s="120"/>
      <c r="Z53" s="120"/>
      <c r="AA53" s="121"/>
      <c r="AB53" s="121"/>
      <c r="AC53" s="121"/>
      <c r="AD53" s="121"/>
      <c r="AE53" s="121"/>
      <c r="AF53" s="120"/>
      <c r="AG53" s="120"/>
      <c r="AH53" s="120"/>
      <c r="AI53" s="120"/>
      <c r="AJ53" s="120"/>
      <c r="AK53" s="122"/>
      <c r="AL53" s="119"/>
      <c r="AM53" s="119"/>
      <c r="AN53" s="119"/>
      <c r="AO53" s="119"/>
      <c r="AP53" s="119"/>
      <c r="AQ53" s="119"/>
      <c r="AR53" s="119"/>
      <c r="AS53" s="119"/>
      <c r="AT53" s="119"/>
      <c r="AU53" s="119"/>
      <c r="AV53" s="120"/>
    </row>
    <row r="54" spans="1:48" s="115" customFormat="1" ht="11.1" customHeight="1" x14ac:dyDescent="0.2">
      <c r="A54" s="112"/>
      <c r="B54" s="112"/>
      <c r="C54" s="112"/>
      <c r="D54" s="112"/>
      <c r="E54" s="114">
        <v>18</v>
      </c>
      <c r="F54" s="171">
        <v>7</v>
      </c>
      <c r="G54" s="171">
        <v>0.88560000000000005</v>
      </c>
      <c r="H54" s="171">
        <v>1.3339999999999999E-2</v>
      </c>
      <c r="K54" s="116">
        <f>calculations!AA73</f>
        <v>7</v>
      </c>
      <c r="L54" s="117">
        <f ca="1">calculations!AF73</f>
        <v>0.85218469917568718</v>
      </c>
      <c r="M54" s="118">
        <f ca="1">calculations!AK73</f>
        <v>1.4307454336183582E-2</v>
      </c>
      <c r="N54" s="112"/>
      <c r="O54" s="119"/>
      <c r="P54" s="119"/>
      <c r="Q54" s="119"/>
      <c r="R54" s="119"/>
      <c r="S54" s="120"/>
      <c r="T54" s="120"/>
      <c r="U54" s="120"/>
      <c r="V54" s="120"/>
      <c r="W54" s="120"/>
      <c r="X54" s="120"/>
      <c r="Y54" s="120"/>
      <c r="Z54" s="120"/>
      <c r="AA54" s="121"/>
      <c r="AB54" s="121"/>
      <c r="AC54" s="121"/>
      <c r="AD54" s="121"/>
      <c r="AE54" s="121"/>
      <c r="AF54" s="120"/>
      <c r="AG54" s="120"/>
      <c r="AH54" s="120"/>
      <c r="AI54" s="120"/>
      <c r="AJ54" s="120"/>
      <c r="AK54" s="122"/>
      <c r="AL54" s="119"/>
      <c r="AM54" s="119"/>
      <c r="AN54" s="119"/>
      <c r="AO54" s="119"/>
      <c r="AP54" s="119"/>
      <c r="AQ54" s="119"/>
      <c r="AR54" s="119"/>
      <c r="AS54" s="119"/>
      <c r="AT54" s="119"/>
      <c r="AU54" s="119"/>
      <c r="AV54" s="120"/>
    </row>
    <row r="55" spans="1:48" s="115" customFormat="1" ht="11.1" customHeight="1" x14ac:dyDescent="0.2">
      <c r="A55" s="112"/>
      <c r="B55" s="112"/>
      <c r="C55" s="112"/>
      <c r="D55" s="112"/>
      <c r="E55" s="114">
        <v>19</v>
      </c>
      <c r="F55" s="171">
        <v>8</v>
      </c>
      <c r="G55" s="171">
        <v>0.92300000000000004</v>
      </c>
      <c r="H55" s="171">
        <v>1.516E-2</v>
      </c>
      <c r="K55" s="116">
        <f>calculations!AA74</f>
        <v>8</v>
      </c>
      <c r="L55" s="117">
        <f ca="1">calculations!AF74</f>
        <v>0.92060097362651672</v>
      </c>
      <c r="M55" s="118">
        <f ca="1">calculations!AK74</f>
        <v>1.759514633351069E-2</v>
      </c>
      <c r="N55" s="112"/>
      <c r="O55" s="119"/>
      <c r="P55" s="119"/>
      <c r="Q55" s="119"/>
      <c r="R55" s="119"/>
      <c r="S55" s="120"/>
      <c r="T55" s="120"/>
      <c r="U55" s="120"/>
      <c r="V55" s="120"/>
      <c r="W55" s="120"/>
      <c r="X55" s="120"/>
      <c r="Y55" s="120"/>
      <c r="Z55" s="120"/>
      <c r="AA55" s="121"/>
      <c r="AB55" s="121"/>
      <c r="AC55" s="121"/>
      <c r="AD55" s="121"/>
      <c r="AE55" s="121"/>
      <c r="AF55" s="120"/>
      <c r="AG55" s="120"/>
      <c r="AH55" s="120"/>
      <c r="AI55" s="120"/>
      <c r="AJ55" s="120"/>
      <c r="AK55" s="122"/>
      <c r="AL55" s="119"/>
      <c r="AM55" s="119"/>
      <c r="AN55" s="119"/>
      <c r="AO55" s="119"/>
      <c r="AP55" s="119"/>
      <c r="AQ55" s="119"/>
      <c r="AR55" s="119"/>
      <c r="AS55" s="119"/>
      <c r="AT55" s="119"/>
      <c r="AU55" s="119"/>
      <c r="AV55" s="120"/>
    </row>
    <row r="56" spans="1:48" s="115" customFormat="1" ht="11.1" customHeight="1" x14ac:dyDescent="0.2">
      <c r="A56" s="112"/>
      <c r="B56" s="112"/>
      <c r="C56" s="112"/>
      <c r="D56" s="112"/>
      <c r="E56" s="114">
        <v>20</v>
      </c>
      <c r="F56" s="171">
        <v>9</v>
      </c>
      <c r="G56" s="171">
        <v>0.92859999999999998</v>
      </c>
      <c r="H56" s="171">
        <v>1.7430000000000001E-2</v>
      </c>
      <c r="K56" s="116">
        <f>calculations!AA75</f>
        <v>9</v>
      </c>
      <c r="L56" s="117">
        <f ca="1">calculations!AF75</f>
        <v>0.97870917933590451</v>
      </c>
      <c r="M56" s="118">
        <f ca="1">calculations!AK75</f>
        <v>2.1921001149387102E-2</v>
      </c>
      <c r="N56" s="112"/>
      <c r="O56" s="119"/>
      <c r="P56" s="119"/>
      <c r="Q56" s="119"/>
      <c r="R56" s="119"/>
      <c r="S56" s="120"/>
      <c r="T56" s="120"/>
      <c r="U56" s="120"/>
      <c r="V56" s="120"/>
      <c r="W56" s="120"/>
      <c r="X56" s="120"/>
      <c r="Y56" s="120"/>
      <c r="Z56" s="120"/>
      <c r="AA56" s="121"/>
      <c r="AB56" s="121"/>
      <c r="AC56" s="121"/>
      <c r="AD56" s="121"/>
      <c r="AE56" s="121"/>
      <c r="AF56" s="120"/>
      <c r="AG56" s="120"/>
      <c r="AH56" s="120"/>
      <c r="AI56" s="120"/>
      <c r="AJ56" s="120"/>
      <c r="AK56" s="122"/>
      <c r="AL56" s="119"/>
      <c r="AM56" s="119"/>
      <c r="AN56" s="119"/>
      <c r="AO56" s="119"/>
      <c r="AP56" s="119"/>
      <c r="AQ56" s="119"/>
      <c r="AR56" s="119"/>
      <c r="AS56" s="119"/>
      <c r="AT56" s="119"/>
      <c r="AU56" s="119"/>
      <c r="AV56" s="120"/>
    </row>
    <row r="57" spans="1:48" s="115" customFormat="1" ht="11.1" customHeight="1" x14ac:dyDescent="0.2">
      <c r="A57" s="112"/>
      <c r="B57" s="112"/>
      <c r="C57" s="112"/>
      <c r="D57" s="112"/>
      <c r="E57" s="114">
        <v>21</v>
      </c>
      <c r="F57" s="171">
        <v>10</v>
      </c>
      <c r="G57" s="171">
        <v>0.9677</v>
      </c>
      <c r="H57" s="171">
        <v>2.0369999999999999E-2</v>
      </c>
      <c r="K57" s="116">
        <f>calculations!AA76</f>
        <v>10</v>
      </c>
      <c r="L57" s="117">
        <f ca="1">calculations!AF76</f>
        <v>1.02554772014067</v>
      </c>
      <c r="M57" s="118">
        <f ca="1">calculations!AK76</f>
        <v>2.746572273924227E-2</v>
      </c>
      <c r="N57" s="112"/>
      <c r="O57" s="119"/>
      <c r="P57" s="119"/>
      <c r="Q57" s="119"/>
      <c r="R57" s="119"/>
      <c r="S57" s="120"/>
      <c r="T57" s="120"/>
      <c r="U57" s="120"/>
      <c r="V57" s="120"/>
      <c r="W57" s="120"/>
      <c r="X57" s="120"/>
      <c r="Y57" s="120"/>
      <c r="Z57" s="120"/>
      <c r="AA57" s="121"/>
      <c r="AB57" s="121"/>
      <c r="AC57" s="121"/>
      <c r="AD57" s="121"/>
      <c r="AE57" s="121"/>
      <c r="AF57" s="120"/>
      <c r="AG57" s="120"/>
      <c r="AH57" s="120"/>
      <c r="AI57" s="120"/>
      <c r="AJ57" s="120"/>
      <c r="AK57" s="122"/>
      <c r="AL57" s="119"/>
      <c r="AM57" s="119"/>
      <c r="AN57" s="119"/>
      <c r="AO57" s="119"/>
      <c r="AP57" s="119"/>
      <c r="AQ57" s="119"/>
      <c r="AR57" s="119"/>
      <c r="AS57" s="119"/>
      <c r="AT57" s="119"/>
      <c r="AU57" s="119"/>
      <c r="AV57" s="120"/>
    </row>
    <row r="58" spans="1:48" s="115" customFormat="1" ht="11.1" customHeight="1" x14ac:dyDescent="0.2">
      <c r="A58" s="112"/>
      <c r="B58" s="112"/>
      <c r="C58" s="112"/>
      <c r="D58" s="112"/>
      <c r="E58" s="114">
        <v>22</v>
      </c>
      <c r="F58" s="171">
        <v>11</v>
      </c>
      <c r="G58" s="171">
        <v>0.99050000000000005</v>
      </c>
      <c r="H58" s="171">
        <v>2.4500000000000001E-2</v>
      </c>
      <c r="I58" s="114"/>
      <c r="K58" s="116">
        <f>calculations!AA77</f>
        <v>11</v>
      </c>
      <c r="L58" s="117">
        <f ca="1">calculations!AF77</f>
        <v>1.0601652475814396</v>
      </c>
      <c r="M58" s="118">
        <f ca="1">calculations!AK77</f>
        <v>3.4420692468166661E-2</v>
      </c>
      <c r="N58" s="112"/>
      <c r="O58" s="119"/>
      <c r="P58" s="119"/>
      <c r="Q58" s="119"/>
      <c r="R58" s="119"/>
      <c r="S58" s="120"/>
      <c r="T58" s="120"/>
      <c r="U58" s="120"/>
      <c r="V58" s="120"/>
      <c r="W58" s="120"/>
      <c r="X58" s="120"/>
      <c r="Y58" s="120"/>
      <c r="Z58" s="120"/>
      <c r="AA58" s="121"/>
      <c r="AB58" s="121"/>
      <c r="AC58" s="121"/>
      <c r="AD58" s="121"/>
      <c r="AE58" s="121"/>
      <c r="AF58" s="120"/>
      <c r="AG58" s="120"/>
      <c r="AH58" s="120"/>
      <c r="AI58" s="120"/>
      <c r="AJ58" s="120"/>
      <c r="AK58" s="122"/>
      <c r="AL58" s="119"/>
      <c r="AM58" s="119"/>
      <c r="AN58" s="119"/>
      <c r="AO58" s="119"/>
      <c r="AP58" s="119"/>
      <c r="AQ58" s="119"/>
      <c r="AR58" s="119"/>
      <c r="AS58" s="119"/>
      <c r="AT58" s="119"/>
      <c r="AU58" s="119"/>
      <c r="AV58" s="120"/>
    </row>
    <row r="59" spans="1:48" s="115" customFormat="1" ht="11.1" customHeight="1" x14ac:dyDescent="0.2">
      <c r="A59" s="112"/>
      <c r="B59" s="112"/>
      <c r="C59" s="112"/>
      <c r="D59" s="112"/>
      <c r="E59" s="114">
        <v>23</v>
      </c>
      <c r="F59" s="171">
        <v>12</v>
      </c>
      <c r="G59" s="171">
        <v>1.0083</v>
      </c>
      <c r="H59" s="171">
        <v>2.9690000000000001E-2</v>
      </c>
      <c r="I59" s="114"/>
      <c r="K59" s="116">
        <f>calculations!AA78</f>
        <v>12</v>
      </c>
      <c r="L59" s="117">
        <f ca="1">calculations!AF78</f>
        <v>1.0816196668932676</v>
      </c>
      <c r="M59" s="118">
        <f ca="1">calculations!AK78</f>
        <v>4.298758502416182E-2</v>
      </c>
      <c r="N59" s="112"/>
      <c r="O59" s="119"/>
      <c r="P59" s="119"/>
      <c r="Q59" s="119"/>
      <c r="R59" s="119"/>
      <c r="S59" s="120"/>
      <c r="T59" s="120"/>
      <c r="U59" s="120"/>
      <c r="V59" s="120"/>
      <c r="W59" s="120"/>
      <c r="X59" s="120"/>
      <c r="Y59" s="120"/>
      <c r="Z59" s="120"/>
      <c r="AA59" s="121"/>
      <c r="AB59" s="121"/>
      <c r="AC59" s="121"/>
      <c r="AD59" s="121"/>
      <c r="AE59" s="121"/>
      <c r="AF59" s="120"/>
      <c r="AG59" s="120"/>
      <c r="AH59" s="120"/>
      <c r="AI59" s="120"/>
      <c r="AJ59" s="120"/>
      <c r="AK59" s="122"/>
      <c r="AL59" s="119"/>
      <c r="AM59" s="119"/>
      <c r="AN59" s="119"/>
      <c r="AO59" s="119"/>
      <c r="AP59" s="119"/>
      <c r="AQ59" s="119"/>
      <c r="AR59" s="119"/>
      <c r="AS59" s="119"/>
      <c r="AT59" s="119"/>
      <c r="AU59" s="119"/>
      <c r="AV59" s="120"/>
    </row>
    <row r="60" spans="1:48" s="115" customFormat="1" ht="11.1" customHeight="1" x14ac:dyDescent="0.2">
      <c r="A60" s="112"/>
      <c r="B60" s="112"/>
      <c r="C60" s="112"/>
      <c r="D60" s="112"/>
      <c r="E60" s="114">
        <v>24</v>
      </c>
      <c r="F60" s="171">
        <v>13</v>
      </c>
      <c r="G60" s="171">
        <v>1.0244</v>
      </c>
      <c r="H60" s="171">
        <v>3.5770000000000003E-2</v>
      </c>
      <c r="I60" s="114"/>
      <c r="K60" s="116">
        <f>calculations!AA79</f>
        <v>13</v>
      </c>
      <c r="L60" s="117">
        <f ca="1">calculations!AF79</f>
        <v>1.0889773117936195</v>
      </c>
      <c r="M60" s="118">
        <f ca="1">calculations!AK79</f>
        <v>5.3378028815479435E-2</v>
      </c>
      <c r="N60" s="112"/>
      <c r="O60" s="119"/>
      <c r="P60" s="119"/>
      <c r="Q60" s="119"/>
      <c r="R60" s="119"/>
      <c r="S60" s="120"/>
      <c r="T60" s="120"/>
      <c r="U60" s="120"/>
      <c r="V60" s="120"/>
      <c r="W60" s="120"/>
      <c r="X60" s="120"/>
      <c r="Y60" s="120"/>
      <c r="Z60" s="120"/>
      <c r="AA60" s="121"/>
      <c r="AB60" s="121"/>
      <c r="AC60" s="121"/>
      <c r="AD60" s="121"/>
      <c r="AE60" s="121"/>
      <c r="AF60" s="120"/>
      <c r="AG60" s="120"/>
      <c r="AH60" s="120"/>
      <c r="AI60" s="120"/>
      <c r="AJ60" s="120"/>
      <c r="AK60" s="122"/>
      <c r="AL60" s="119"/>
      <c r="AM60" s="119"/>
      <c r="AN60" s="119"/>
      <c r="AO60" s="119"/>
      <c r="AP60" s="119"/>
      <c r="AQ60" s="119"/>
      <c r="AR60" s="119"/>
      <c r="AS60" s="119"/>
      <c r="AT60" s="119"/>
      <c r="AU60" s="119"/>
      <c r="AV60" s="120"/>
    </row>
    <row r="61" spans="1:48" s="115" customFormat="1" ht="11.1" customHeight="1" x14ac:dyDescent="0.2">
      <c r="A61" s="112"/>
      <c r="B61" s="112"/>
      <c r="C61" s="112"/>
      <c r="D61" s="112"/>
      <c r="E61" s="114">
        <v>25</v>
      </c>
      <c r="F61" s="171">
        <v>14</v>
      </c>
      <c r="G61" s="171">
        <v>1.0398000000000001</v>
      </c>
      <c r="H61" s="171">
        <v>4.2959999999999998E-2</v>
      </c>
      <c r="I61" s="114"/>
      <c r="K61" s="116">
        <f>calculations!AA80</f>
        <v>14</v>
      </c>
      <c r="L61" s="117">
        <f ca="1">calculations!AF80</f>
        <v>1.0813122489031111</v>
      </c>
      <c r="M61" s="118">
        <f ca="1">calculations!AK80</f>
        <v>6.5813302676377181E-2</v>
      </c>
      <c r="N61" s="112"/>
      <c r="O61" s="119"/>
      <c r="P61" s="119"/>
      <c r="Q61" s="119"/>
      <c r="R61" s="119"/>
      <c r="S61" s="120"/>
      <c r="T61" s="120"/>
      <c r="U61" s="120"/>
      <c r="V61" s="120"/>
      <c r="W61" s="120"/>
      <c r="X61" s="120"/>
      <c r="Y61" s="120"/>
      <c r="Z61" s="120"/>
      <c r="AA61" s="121"/>
      <c r="AB61" s="121"/>
      <c r="AC61" s="121"/>
      <c r="AD61" s="121"/>
      <c r="AE61" s="121"/>
      <c r="AF61" s="120"/>
      <c r="AG61" s="120"/>
      <c r="AH61" s="120"/>
      <c r="AI61" s="120"/>
      <c r="AJ61" s="120"/>
      <c r="AK61" s="122"/>
      <c r="AL61" s="119"/>
      <c r="AM61" s="119"/>
      <c r="AN61" s="119"/>
      <c r="AO61" s="119"/>
      <c r="AP61" s="119"/>
      <c r="AQ61" s="119"/>
      <c r="AR61" s="119"/>
      <c r="AS61" s="119"/>
      <c r="AT61" s="119"/>
      <c r="AU61" s="119"/>
      <c r="AV61" s="120"/>
    </row>
    <row r="62" spans="1:48" s="115" customFormat="1" ht="11.1" customHeight="1" x14ac:dyDescent="0.2">
      <c r="A62" s="112"/>
      <c r="B62" s="112"/>
      <c r="C62" s="112"/>
      <c r="D62" s="112"/>
      <c r="E62" s="114">
        <v>26</v>
      </c>
      <c r="F62" s="171">
        <v>15</v>
      </c>
      <c r="G62" s="171">
        <v>1.0492999999999999</v>
      </c>
      <c r="H62" s="171">
        <v>5.1610000000000003E-2</v>
      </c>
      <c r="I62" s="114"/>
      <c r="K62" s="116">
        <f>calculations!AA81</f>
        <v>15</v>
      </c>
      <c r="L62" s="117">
        <f ca="1">calculations!AF81</f>
        <v>1.057705683825966</v>
      </c>
      <c r="M62" s="118">
        <f ca="1">calculations!AK81</f>
        <v>8.0524062686744557E-2</v>
      </c>
      <c r="N62" s="112"/>
      <c r="O62" s="119"/>
      <c r="P62" s="119"/>
      <c r="Q62" s="119"/>
      <c r="R62" s="119"/>
      <c r="S62" s="120"/>
      <c r="T62" s="120"/>
      <c r="U62" s="120"/>
      <c r="V62" s="120"/>
      <c r="W62" s="120"/>
      <c r="X62" s="120"/>
      <c r="Y62" s="120"/>
      <c r="Z62" s="120"/>
      <c r="AA62" s="121"/>
      <c r="AB62" s="121"/>
      <c r="AC62" s="121"/>
      <c r="AD62" s="121"/>
      <c r="AE62" s="121"/>
      <c r="AF62" s="120"/>
      <c r="AG62" s="120"/>
      <c r="AH62" s="120"/>
      <c r="AI62" s="120"/>
      <c r="AJ62" s="120"/>
      <c r="AK62" s="122"/>
      <c r="AL62" s="119"/>
      <c r="AM62" s="119"/>
      <c r="AN62" s="119"/>
      <c r="AO62" s="119"/>
      <c r="AP62" s="119"/>
      <c r="AQ62" s="119"/>
      <c r="AR62" s="119"/>
      <c r="AS62" s="119"/>
      <c r="AT62" s="119"/>
      <c r="AU62" s="119"/>
      <c r="AV62" s="120"/>
    </row>
    <row r="63" spans="1:48" s="115" customFormat="1" ht="11.1" customHeight="1" x14ac:dyDescent="0.2">
      <c r="A63" s="112"/>
      <c r="B63" s="112"/>
      <c r="C63" s="112"/>
      <c r="D63" s="112"/>
      <c r="E63" s="114">
        <v>27</v>
      </c>
      <c r="F63" s="171">
        <v>16</v>
      </c>
      <c r="G63" s="171">
        <v>1.0463</v>
      </c>
      <c r="H63" s="171">
        <v>6.2969999999999998E-2</v>
      </c>
      <c r="I63" s="114"/>
      <c r="K63" s="116">
        <f>calculations!AA82</f>
        <v>16</v>
      </c>
      <c r="L63" s="117">
        <f ca="1">calculations!AF82</f>
        <v>1.0172454483861104</v>
      </c>
      <c r="M63" s="118">
        <f ca="1">calculations!AK82</f>
        <v>9.7750094311257696E-2</v>
      </c>
      <c r="N63" s="112"/>
      <c r="O63" s="119"/>
      <c r="P63" s="119"/>
      <c r="Q63" s="119"/>
      <c r="R63" s="119"/>
      <c r="S63" s="120"/>
      <c r="T63" s="120"/>
      <c r="U63" s="120"/>
      <c r="V63" s="120"/>
      <c r="W63" s="120"/>
      <c r="X63" s="120"/>
      <c r="Y63" s="120"/>
      <c r="Z63" s="120"/>
      <c r="AA63" s="121"/>
      <c r="AB63" s="121"/>
      <c r="AC63" s="121"/>
      <c r="AD63" s="121"/>
      <c r="AE63" s="121"/>
      <c r="AF63" s="120"/>
      <c r="AG63" s="120"/>
      <c r="AH63" s="120"/>
      <c r="AI63" s="120"/>
      <c r="AJ63" s="120"/>
      <c r="AK63" s="122"/>
      <c r="AL63" s="119"/>
      <c r="AM63" s="119"/>
      <c r="AN63" s="119"/>
      <c r="AO63" s="119"/>
      <c r="AP63" s="119"/>
      <c r="AQ63" s="119"/>
      <c r="AR63" s="119"/>
      <c r="AS63" s="119"/>
      <c r="AT63" s="119"/>
      <c r="AU63" s="119"/>
      <c r="AV63" s="120"/>
    </row>
    <row r="64" spans="1:48" s="115" customFormat="1" ht="11.1" customHeight="1" x14ac:dyDescent="0.2">
      <c r="A64" s="112"/>
      <c r="B64" s="112"/>
      <c r="C64" s="112"/>
      <c r="D64" s="112"/>
      <c r="E64" s="114">
        <v>28</v>
      </c>
      <c r="F64" s="171">
        <v>17</v>
      </c>
      <c r="G64" s="171">
        <v>1.0257000000000001</v>
      </c>
      <c r="H64" s="171">
        <v>7.8399999999999997E-2</v>
      </c>
      <c r="I64" s="114"/>
      <c r="K64" s="116">
        <f>calculations!AA83</f>
        <v>17</v>
      </c>
      <c r="L64" s="117">
        <f ca="1">calculations!AF83</f>
        <v>0.95902555365290532</v>
      </c>
      <c r="M64" s="118">
        <f ca="1">calculations!AK83</f>
        <v>0.11774008607929745</v>
      </c>
      <c r="N64" s="112"/>
      <c r="O64" s="119"/>
      <c r="P64" s="119"/>
      <c r="Q64" s="119"/>
      <c r="R64" s="119"/>
      <c r="S64" s="120"/>
      <c r="T64" s="120"/>
      <c r="U64" s="120"/>
      <c r="V64" s="120"/>
      <c r="W64" s="120"/>
      <c r="X64" s="120"/>
      <c r="Y64" s="120"/>
      <c r="Z64" s="120"/>
      <c r="AA64" s="121"/>
      <c r="AB64" s="121"/>
      <c r="AC64" s="121"/>
      <c r="AD64" s="121"/>
      <c r="AE64" s="121"/>
      <c r="AF64" s="120"/>
      <c r="AG64" s="120"/>
      <c r="AH64" s="120"/>
      <c r="AI64" s="120"/>
      <c r="AJ64" s="120"/>
      <c r="AK64" s="122"/>
      <c r="AL64" s="119"/>
      <c r="AM64" s="119"/>
      <c r="AN64" s="119"/>
      <c r="AO64" s="119"/>
      <c r="AP64" s="119"/>
      <c r="AQ64" s="119"/>
      <c r="AR64" s="119"/>
      <c r="AS64" s="119"/>
      <c r="AT64" s="119"/>
      <c r="AU64" s="119"/>
      <c r="AV64" s="120"/>
    </row>
    <row r="65" spans="1:48" s="115" customFormat="1" ht="11.1" customHeight="1" x14ac:dyDescent="0.2">
      <c r="A65" s="112"/>
      <c r="B65" s="112"/>
      <c r="C65" s="112"/>
      <c r="D65" s="112"/>
      <c r="E65" s="114">
        <v>29</v>
      </c>
      <c r="F65" s="171">
        <v>18</v>
      </c>
      <c r="G65" s="171">
        <v>0.97970000000000002</v>
      </c>
      <c r="H65" s="171">
        <v>0.10076</v>
      </c>
      <c r="I65" s="114"/>
      <c r="K65" s="116">
        <f>calculations!AA84</f>
        <v>18</v>
      </c>
      <c r="L65" s="117">
        <f ca="1">calculations!AF84</f>
        <v>0.88214579701824269</v>
      </c>
      <c r="M65" s="118">
        <f ca="1">calculations!AK84</f>
        <v>0.1407514217800214</v>
      </c>
      <c r="N65" s="112"/>
      <c r="O65" s="119"/>
      <c r="P65" s="119"/>
      <c r="Q65" s="119"/>
      <c r="R65" s="119"/>
      <c r="S65" s="120"/>
      <c r="T65" s="120"/>
      <c r="U65" s="120"/>
      <c r="V65" s="120"/>
      <c r="W65" s="120"/>
      <c r="X65" s="120"/>
      <c r="Y65" s="120"/>
      <c r="Z65" s="120"/>
      <c r="AA65" s="121"/>
      <c r="AB65" s="121"/>
      <c r="AC65" s="121"/>
      <c r="AD65" s="121"/>
      <c r="AE65" s="121"/>
      <c r="AF65" s="120"/>
      <c r="AG65" s="120"/>
      <c r="AH65" s="120"/>
      <c r="AI65" s="120"/>
      <c r="AJ65" s="120"/>
      <c r="AK65" s="122"/>
      <c r="AL65" s="119"/>
      <c r="AM65" s="119"/>
      <c r="AN65" s="119"/>
      <c r="AO65" s="119"/>
      <c r="AP65" s="119"/>
      <c r="AQ65" s="119"/>
      <c r="AR65" s="119"/>
      <c r="AS65" s="119"/>
      <c r="AT65" s="119"/>
      <c r="AU65" s="119"/>
      <c r="AV65" s="120"/>
    </row>
    <row r="66" spans="1:48" s="115" customFormat="1" ht="11.1" customHeight="1" x14ac:dyDescent="0.2">
      <c r="A66" s="112"/>
      <c r="B66" s="112"/>
      <c r="C66" s="112"/>
      <c r="D66" s="112"/>
      <c r="E66" s="114">
        <v>30</v>
      </c>
      <c r="F66" s="171">
        <v>20</v>
      </c>
      <c r="G66" s="171">
        <v>0.74750000000000005</v>
      </c>
      <c r="H66" s="171">
        <v>0.19691</v>
      </c>
      <c r="I66" s="114"/>
      <c r="K66" s="116">
        <f>calculations!AA85</f>
        <v>19</v>
      </c>
      <c r="L66" s="117">
        <f ca="1">calculations!AF85</f>
        <v>0.78571141420655533</v>
      </c>
      <c r="M66" s="118">
        <f ca="1">calculations!AK85</f>
        <v>0.16704998871641163</v>
      </c>
      <c r="N66" s="112"/>
      <c r="O66" s="119"/>
      <c r="P66" s="119"/>
      <c r="Q66" s="119"/>
      <c r="R66" s="119"/>
      <c r="S66" s="120"/>
      <c r="T66" s="120"/>
      <c r="U66" s="120"/>
      <c r="V66" s="120"/>
      <c r="W66" s="120"/>
      <c r="X66" s="120"/>
      <c r="Y66" s="120"/>
      <c r="Z66" s="120"/>
      <c r="AA66" s="121"/>
      <c r="AB66" s="121"/>
      <c r="AC66" s="121"/>
      <c r="AD66" s="121"/>
      <c r="AE66" s="121"/>
      <c r="AF66" s="120"/>
      <c r="AG66" s="120"/>
      <c r="AH66" s="120"/>
      <c r="AI66" s="120"/>
      <c r="AJ66" s="120"/>
      <c r="AK66" s="122"/>
      <c r="AL66" s="119"/>
      <c r="AM66" s="119"/>
      <c r="AN66" s="119"/>
      <c r="AO66" s="119"/>
      <c r="AP66" s="119"/>
      <c r="AQ66" s="119"/>
      <c r="AR66" s="119"/>
      <c r="AS66" s="119"/>
      <c r="AT66" s="119"/>
      <c r="AU66" s="119"/>
      <c r="AV66" s="120"/>
    </row>
    <row r="67" spans="1:48" s="115" customFormat="1" ht="11.1" customHeight="1" x14ac:dyDescent="0.2">
      <c r="A67" s="112"/>
      <c r="B67" s="112"/>
      <c r="C67" s="112"/>
      <c r="D67" s="112"/>
      <c r="E67" s="114">
        <v>31</v>
      </c>
      <c r="F67" s="171"/>
      <c r="G67" s="171"/>
      <c r="H67" s="171"/>
      <c r="I67" s="114"/>
      <c r="K67" s="116">
        <f>calculations!AA86</f>
        <v>20</v>
      </c>
      <c r="L67" s="117">
        <f ca="1">calculations!AF86</f>
        <v>0.74678302311533806</v>
      </c>
      <c r="M67" s="118">
        <f ca="1">calculations!AK86</f>
        <v>0.19691</v>
      </c>
      <c r="N67" s="112"/>
      <c r="O67" s="119"/>
      <c r="P67" s="119"/>
      <c r="Q67" s="119"/>
      <c r="R67" s="119"/>
      <c r="S67" s="120"/>
      <c r="T67" s="120"/>
      <c r="U67" s="120"/>
      <c r="V67" s="120"/>
      <c r="W67" s="120"/>
      <c r="X67" s="120"/>
      <c r="Y67" s="120"/>
      <c r="Z67" s="120"/>
      <c r="AA67" s="121"/>
      <c r="AB67" s="121"/>
      <c r="AC67" s="121"/>
      <c r="AD67" s="121"/>
      <c r="AE67" s="121"/>
      <c r="AF67" s="120"/>
      <c r="AG67" s="120"/>
      <c r="AH67" s="120"/>
      <c r="AI67" s="120"/>
      <c r="AJ67" s="120"/>
      <c r="AK67" s="122"/>
      <c r="AL67" s="119"/>
      <c r="AM67" s="119"/>
      <c r="AN67" s="119"/>
      <c r="AO67" s="119"/>
      <c r="AP67" s="119"/>
      <c r="AQ67" s="119"/>
      <c r="AR67" s="119"/>
      <c r="AS67" s="119"/>
      <c r="AT67" s="119"/>
      <c r="AU67" s="119"/>
      <c r="AV67" s="120"/>
    </row>
    <row r="68" spans="1:48" s="115" customFormat="1" ht="11.1" customHeight="1" x14ac:dyDescent="0.2">
      <c r="A68" s="112"/>
      <c r="B68" s="112"/>
      <c r="C68" s="112"/>
      <c r="D68" s="112"/>
      <c r="E68" s="114">
        <v>32</v>
      </c>
      <c r="F68" s="171"/>
      <c r="G68" s="171"/>
      <c r="H68" s="171"/>
      <c r="I68" s="114"/>
      <c r="K68" s="116">
        <f>calculations!AA87</f>
        <v>21</v>
      </c>
      <c r="L68" s="117">
        <f ca="1">calculations!AF87</f>
        <v>0.78879047798276014</v>
      </c>
      <c r="M68" s="118">
        <f ca="1">calculations!AK87</f>
        <v>0.23752862562167659</v>
      </c>
      <c r="N68" s="112"/>
      <c r="O68" s="119"/>
      <c r="P68" s="119"/>
      <c r="Q68" s="119"/>
      <c r="R68" s="119"/>
      <c r="S68" s="120"/>
      <c r="T68" s="120"/>
      <c r="U68" s="120"/>
      <c r="V68" s="120"/>
      <c r="W68" s="120"/>
      <c r="X68" s="120"/>
      <c r="Y68" s="120"/>
      <c r="Z68" s="120"/>
      <c r="AA68" s="121"/>
      <c r="AB68" s="121"/>
      <c r="AC68" s="121"/>
      <c r="AD68" s="121"/>
      <c r="AE68" s="121"/>
      <c r="AF68" s="120"/>
      <c r="AG68" s="120"/>
      <c r="AH68" s="120"/>
      <c r="AI68" s="120"/>
      <c r="AJ68" s="120"/>
      <c r="AK68" s="122"/>
      <c r="AL68" s="119"/>
      <c r="AM68" s="119"/>
      <c r="AN68" s="119"/>
      <c r="AO68" s="119"/>
      <c r="AP68" s="119"/>
      <c r="AQ68" s="119"/>
      <c r="AR68" s="119"/>
      <c r="AS68" s="119"/>
      <c r="AT68" s="119"/>
      <c r="AU68" s="119"/>
      <c r="AV68" s="120"/>
    </row>
    <row r="69" spans="1:48" s="115" customFormat="1" ht="11.1" customHeight="1" x14ac:dyDescent="0.2">
      <c r="A69" s="112"/>
      <c r="B69" s="112"/>
      <c r="C69" s="112"/>
      <c r="D69" s="112"/>
      <c r="E69" s="114">
        <v>33</v>
      </c>
      <c r="F69" s="171"/>
      <c r="G69" s="171"/>
      <c r="H69" s="171"/>
      <c r="I69" s="114"/>
      <c r="K69" s="116">
        <f>calculations!AA88</f>
        <v>22</v>
      </c>
      <c r="L69" s="117">
        <f ca="1">calculations!AF88</f>
        <v>0.82825610622513279</v>
      </c>
      <c r="M69" s="118">
        <f ca="1">calculations!AK88</f>
        <v>0.2781267985421233</v>
      </c>
      <c r="N69" s="112"/>
      <c r="O69" s="119"/>
      <c r="P69" s="119"/>
      <c r="Q69" s="119"/>
      <c r="R69" s="119"/>
      <c r="S69" s="120"/>
      <c r="T69" s="120"/>
      <c r="U69" s="120"/>
      <c r="V69" s="120"/>
      <c r="W69" s="120"/>
      <c r="X69" s="120"/>
      <c r="Y69" s="120"/>
      <c r="Z69" s="120"/>
      <c r="AA69" s="121"/>
      <c r="AB69" s="121"/>
      <c r="AC69" s="121"/>
      <c r="AD69" s="121"/>
      <c r="AE69" s="121"/>
      <c r="AF69" s="120"/>
      <c r="AG69" s="120"/>
      <c r="AH69" s="120"/>
      <c r="AI69" s="120"/>
      <c r="AJ69" s="120"/>
      <c r="AK69" s="122"/>
      <c r="AL69" s="119"/>
      <c r="AM69" s="119"/>
      <c r="AN69" s="119"/>
      <c r="AO69" s="119"/>
      <c r="AP69" s="119"/>
      <c r="AQ69" s="119"/>
      <c r="AR69" s="119"/>
      <c r="AS69" s="119"/>
      <c r="AT69" s="119"/>
      <c r="AU69" s="119"/>
      <c r="AV69" s="120"/>
    </row>
    <row r="70" spans="1:48" s="115" customFormat="1" ht="11.1" customHeight="1" x14ac:dyDescent="0.2">
      <c r="A70" s="112"/>
      <c r="B70" s="112"/>
      <c r="C70" s="112"/>
      <c r="D70" s="112"/>
      <c r="E70" s="114">
        <v>34</v>
      </c>
      <c r="F70" s="171"/>
      <c r="G70" s="171"/>
      <c r="H70" s="171"/>
      <c r="I70" s="114"/>
      <c r="K70" s="116">
        <f>calculations!AA89</f>
        <v>23</v>
      </c>
      <c r="L70" s="117">
        <f ca="1">calculations!AF89</f>
        <v>0.8652327619441984</v>
      </c>
      <c r="M70" s="118">
        <f ca="1">calculations!AK89</f>
        <v>0.31868407635866119</v>
      </c>
      <c r="N70" s="112"/>
      <c r="O70" s="119"/>
      <c r="P70" s="119"/>
      <c r="Q70" s="119"/>
      <c r="R70" s="119"/>
      <c r="S70" s="120"/>
      <c r="T70" s="120"/>
      <c r="U70" s="120"/>
      <c r="V70" s="120"/>
      <c r="W70" s="120"/>
      <c r="X70" s="120"/>
      <c r="Y70" s="120"/>
      <c r="Z70" s="120"/>
      <c r="AA70" s="121"/>
      <c r="AB70" s="121"/>
      <c r="AC70" s="121"/>
      <c r="AD70" s="121"/>
      <c r="AE70" s="121"/>
      <c r="AF70" s="120"/>
      <c r="AG70" s="120"/>
      <c r="AH70" s="120"/>
      <c r="AI70" s="120"/>
      <c r="AJ70" s="120"/>
      <c r="AK70" s="122"/>
      <c r="AL70" s="119"/>
      <c r="AM70" s="119"/>
      <c r="AN70" s="119"/>
      <c r="AO70" s="119"/>
      <c r="AP70" s="119"/>
      <c r="AQ70" s="119"/>
      <c r="AR70" s="119"/>
      <c r="AS70" s="119"/>
      <c r="AT70" s="119"/>
      <c r="AU70" s="119"/>
      <c r="AV70" s="120"/>
    </row>
    <row r="71" spans="1:48" s="115" customFormat="1" ht="11.1" customHeight="1" x14ac:dyDescent="0.2">
      <c r="A71" s="112"/>
      <c r="B71" s="112"/>
      <c r="C71" s="112"/>
      <c r="D71" s="112"/>
      <c r="E71" s="114">
        <v>35</v>
      </c>
      <c r="F71" s="171"/>
      <c r="G71" s="171"/>
      <c r="H71" s="171"/>
      <c r="I71" s="114"/>
      <c r="K71" s="116">
        <f>calculations!AA90</f>
        <v>24</v>
      </c>
      <c r="L71" s="117">
        <f ca="1">calculations!AF90</f>
        <v>0.89977293697706529</v>
      </c>
      <c r="M71" s="118">
        <f ca="1">calculations!AK90</f>
        <v>0.35918003726052783</v>
      </c>
      <c r="N71" s="112"/>
      <c r="O71" s="119"/>
      <c r="P71" s="119"/>
      <c r="Q71" s="119"/>
      <c r="R71" s="119"/>
      <c r="S71" s="120"/>
      <c r="T71" s="120"/>
      <c r="U71" s="120"/>
      <c r="V71" s="120"/>
      <c r="W71" s="120"/>
      <c r="X71" s="120"/>
      <c r="Y71" s="120"/>
      <c r="Z71" s="120"/>
      <c r="AA71" s="121"/>
      <c r="AB71" s="121"/>
      <c r="AC71" s="121"/>
      <c r="AD71" s="121"/>
      <c r="AE71" s="121"/>
      <c r="AF71" s="120"/>
      <c r="AG71" s="120"/>
      <c r="AH71" s="120"/>
      <c r="AI71" s="120"/>
      <c r="AJ71" s="120"/>
      <c r="AK71" s="122"/>
      <c r="AL71" s="119"/>
      <c r="AM71" s="119"/>
      <c r="AN71" s="119"/>
      <c r="AO71" s="119"/>
      <c r="AP71" s="119"/>
      <c r="AQ71" s="119"/>
      <c r="AR71" s="119"/>
      <c r="AS71" s="119"/>
      <c r="AT71" s="119"/>
      <c r="AU71" s="119"/>
      <c r="AV71" s="120"/>
    </row>
    <row r="72" spans="1:48" s="115" customFormat="1" ht="11.1" customHeight="1" x14ac:dyDescent="0.2">
      <c r="A72" s="112"/>
      <c r="B72" s="112"/>
      <c r="C72" s="112"/>
      <c r="D72" s="112"/>
      <c r="E72" s="114">
        <v>36</v>
      </c>
      <c r="F72" s="171"/>
      <c r="G72" s="171"/>
      <c r="H72" s="171"/>
      <c r="I72" s="114"/>
      <c r="K72" s="116">
        <f>calculations!AA91</f>
        <v>25</v>
      </c>
      <c r="L72" s="117">
        <f ca="1">calculations!AF91</f>
        <v>0.93192875818266652</v>
      </c>
      <c r="M72" s="118">
        <f ca="1">calculations!AK91</f>
        <v>0.39959429031187377</v>
      </c>
      <c r="N72" s="112"/>
      <c r="O72" s="119"/>
      <c r="P72" s="119"/>
      <c r="Q72" s="119"/>
      <c r="R72" s="119"/>
      <c r="S72" s="120"/>
      <c r="T72" s="120"/>
      <c r="U72" s="120"/>
      <c r="V72" s="120"/>
      <c r="W72" s="120"/>
      <c r="X72" s="120"/>
      <c r="Y72" s="120"/>
      <c r="Z72" s="120"/>
      <c r="AA72" s="121"/>
      <c r="AB72" s="121"/>
      <c r="AC72" s="121"/>
      <c r="AD72" s="121"/>
      <c r="AE72" s="121"/>
      <c r="AF72" s="120"/>
      <c r="AG72" s="120"/>
      <c r="AH72" s="120"/>
      <c r="AI72" s="120"/>
      <c r="AJ72" s="120"/>
      <c r="AK72" s="122"/>
      <c r="AL72" s="119"/>
      <c r="AM72" s="119"/>
      <c r="AN72" s="119"/>
      <c r="AO72" s="119"/>
      <c r="AP72" s="119"/>
      <c r="AQ72" s="119"/>
      <c r="AR72" s="119"/>
      <c r="AS72" s="119"/>
      <c r="AT72" s="119"/>
      <c r="AU72" s="119"/>
      <c r="AV72" s="120"/>
    </row>
    <row r="73" spans="1:48" s="115" customFormat="1" ht="11.1" customHeight="1" x14ac:dyDescent="0.2">
      <c r="A73" s="112"/>
      <c r="B73" s="112"/>
      <c r="C73" s="112"/>
      <c r="D73" s="112"/>
      <c r="E73" s="114">
        <v>37</v>
      </c>
      <c r="F73" s="171"/>
      <c r="G73" s="171"/>
      <c r="H73" s="171"/>
      <c r="I73" s="114"/>
      <c r="K73" s="116">
        <f>calculations!AA92</f>
        <v>26</v>
      </c>
      <c r="L73" s="117">
        <f ca="1">calculations!AF92</f>
        <v>0.9617519846678273</v>
      </c>
      <c r="M73" s="118">
        <f ca="1">calculations!AK92</f>
        <v>0.43990648571921287</v>
      </c>
      <c r="N73" s="112"/>
      <c r="O73" s="119"/>
      <c r="P73" s="119"/>
      <c r="Q73" s="119"/>
      <c r="R73" s="119"/>
      <c r="S73" s="120"/>
      <c r="T73" s="120"/>
      <c r="U73" s="120"/>
      <c r="V73" s="120"/>
      <c r="W73" s="120"/>
      <c r="X73" s="120"/>
      <c r="Y73" s="120"/>
      <c r="Z73" s="120"/>
      <c r="AA73" s="121"/>
      <c r="AB73" s="121"/>
      <c r="AC73" s="121"/>
      <c r="AD73" s="121"/>
      <c r="AE73" s="121"/>
      <c r="AF73" s="120"/>
      <c r="AG73" s="120"/>
      <c r="AH73" s="120"/>
      <c r="AI73" s="120"/>
      <c r="AJ73" s="120"/>
      <c r="AK73" s="122"/>
      <c r="AL73" s="119"/>
      <c r="AM73" s="119"/>
      <c r="AN73" s="119"/>
      <c r="AO73" s="119"/>
      <c r="AP73" s="119"/>
      <c r="AQ73" s="119"/>
      <c r="AR73" s="119"/>
      <c r="AS73" s="119"/>
      <c r="AT73" s="119"/>
      <c r="AU73" s="119"/>
      <c r="AV73" s="120"/>
    </row>
    <row r="74" spans="1:48" s="115" customFormat="1" ht="11.1" customHeight="1" x14ac:dyDescent="0.2">
      <c r="A74" s="112"/>
      <c r="B74" s="112"/>
      <c r="C74" s="112"/>
      <c r="D74" s="112"/>
      <c r="E74" s="114">
        <v>38</v>
      </c>
      <c r="F74" s="171"/>
      <c r="G74" s="171"/>
      <c r="H74" s="171"/>
      <c r="I74" s="114"/>
      <c r="K74" s="116">
        <f>calculations!AA93</f>
        <v>27</v>
      </c>
      <c r="L74" s="117">
        <f ca="1">calculations!AF93</f>
        <v>0.98929400495066577</v>
      </c>
      <c r="M74" s="118">
        <f ca="1">calculations!AK93</f>
        <v>0.48009632507815647</v>
      </c>
      <c r="N74" s="112"/>
      <c r="O74" s="119"/>
      <c r="P74" s="119"/>
      <c r="Q74" s="119"/>
      <c r="R74" s="119"/>
      <c r="S74" s="120"/>
      <c r="T74" s="120"/>
      <c r="U74" s="120"/>
      <c r="V74" s="120"/>
      <c r="W74" s="120"/>
      <c r="X74" s="120"/>
      <c r="Y74" s="120"/>
      <c r="Z74" s="120"/>
      <c r="AA74" s="121"/>
      <c r="AB74" s="121"/>
      <c r="AC74" s="121"/>
      <c r="AD74" s="121"/>
      <c r="AE74" s="121"/>
      <c r="AF74" s="120"/>
      <c r="AG74" s="120"/>
      <c r="AH74" s="120"/>
      <c r="AI74" s="120"/>
      <c r="AJ74" s="120"/>
      <c r="AK74" s="122"/>
      <c r="AL74" s="119"/>
      <c r="AM74" s="119"/>
      <c r="AN74" s="119"/>
      <c r="AO74" s="119"/>
      <c r="AP74" s="119"/>
      <c r="AQ74" s="119"/>
      <c r="AR74" s="119"/>
      <c r="AS74" s="119"/>
      <c r="AT74" s="119"/>
      <c r="AU74" s="119"/>
      <c r="AV74" s="120"/>
    </row>
    <row r="75" spans="1:48" s="115" customFormat="1" ht="11.1" customHeight="1" x14ac:dyDescent="0.2">
      <c r="A75" s="112"/>
      <c r="B75" s="112"/>
      <c r="C75" s="112"/>
      <c r="D75" s="112"/>
      <c r="E75" s="114">
        <v>39</v>
      </c>
      <c r="F75" s="171"/>
      <c r="G75" s="171"/>
      <c r="H75" s="171"/>
      <c r="I75" s="114"/>
      <c r="K75" s="116">
        <f>calculations!AA94</f>
        <v>28</v>
      </c>
      <c r="L75" s="117">
        <f ca="1">calculations!AF94</f>
        <v>1.0146058340589488</v>
      </c>
      <c r="M75" s="118">
        <f ca="1">calculations!AK94</f>
        <v>0.52014357159427071</v>
      </c>
      <c r="N75" s="112"/>
      <c r="O75" s="119"/>
      <c r="P75" s="119"/>
      <c r="Q75" s="119"/>
      <c r="R75" s="119"/>
      <c r="S75" s="120"/>
      <c r="T75" s="120"/>
      <c r="U75" s="120"/>
      <c r="V75" s="120"/>
      <c r="W75" s="120"/>
      <c r="X75" s="120"/>
      <c r="Y75" s="120"/>
      <c r="Z75" s="120"/>
      <c r="AA75" s="121"/>
      <c r="AB75" s="121"/>
      <c r="AC75" s="121"/>
      <c r="AD75" s="121"/>
      <c r="AE75" s="121"/>
      <c r="AF75" s="120"/>
      <c r="AG75" s="120"/>
      <c r="AH75" s="120"/>
      <c r="AI75" s="120"/>
      <c r="AJ75" s="120"/>
      <c r="AK75" s="122"/>
      <c r="AL75" s="119"/>
      <c r="AM75" s="119"/>
      <c r="AN75" s="119"/>
      <c r="AO75" s="119"/>
      <c r="AP75" s="119"/>
      <c r="AQ75" s="119"/>
      <c r="AR75" s="119"/>
      <c r="AS75" s="119"/>
      <c r="AT75" s="119"/>
      <c r="AU75" s="119"/>
      <c r="AV75" s="120"/>
    </row>
    <row r="76" spans="1:48" s="115" customFormat="1" ht="11.1" customHeight="1" x14ac:dyDescent="0.2">
      <c r="A76" s="112"/>
      <c r="B76" s="112"/>
      <c r="C76" s="112"/>
      <c r="D76" s="112"/>
      <c r="E76" s="114">
        <v>40</v>
      </c>
      <c r="F76" s="171"/>
      <c r="G76" s="171"/>
      <c r="H76" s="171"/>
      <c r="I76" s="114"/>
      <c r="K76" s="116">
        <f>calculations!AA95</f>
        <v>29</v>
      </c>
      <c r="L76" s="117">
        <f ca="1">calculations!AF95</f>
        <v>1.0377381105609009</v>
      </c>
      <c r="M76" s="118">
        <f ca="1">calculations!AK95</f>
        <v>0.56002806027291241</v>
      </c>
      <c r="N76" s="112"/>
      <c r="O76" s="119"/>
      <c r="P76" s="119"/>
      <c r="Q76" s="119"/>
      <c r="R76" s="119"/>
      <c r="S76" s="120"/>
      <c r="T76" s="120"/>
      <c r="U76" s="120"/>
      <c r="V76" s="120"/>
      <c r="W76" s="120"/>
      <c r="X76" s="120"/>
      <c r="Y76" s="120"/>
      <c r="Z76" s="120"/>
      <c r="AA76" s="121"/>
      <c r="AB76" s="121"/>
      <c r="AC76" s="121"/>
      <c r="AD76" s="121"/>
      <c r="AE76" s="121"/>
      <c r="AF76" s="120"/>
      <c r="AG76" s="120"/>
      <c r="AH76" s="120"/>
      <c r="AI76" s="120"/>
      <c r="AJ76" s="120"/>
      <c r="AK76" s="122"/>
      <c r="AL76" s="119"/>
      <c r="AM76" s="119"/>
      <c r="AN76" s="119"/>
      <c r="AO76" s="119"/>
      <c r="AP76" s="119"/>
      <c r="AQ76" s="119"/>
      <c r="AR76" s="119"/>
      <c r="AS76" s="119"/>
      <c r="AT76" s="119"/>
      <c r="AU76" s="119"/>
      <c r="AV76" s="120"/>
    </row>
    <row r="77" spans="1:48" s="115" customFormat="1" ht="11.1" customHeight="1" x14ac:dyDescent="0.2">
      <c r="A77" s="112"/>
      <c r="B77" s="112"/>
      <c r="C77" s="112"/>
      <c r="D77" s="112"/>
      <c r="E77" s="114">
        <v>41</v>
      </c>
      <c r="F77" s="171"/>
      <c r="G77" s="171"/>
      <c r="H77" s="171"/>
      <c r="I77" s="114"/>
      <c r="K77" s="116">
        <f>calculations!AA96</f>
        <v>30</v>
      </c>
      <c r="L77" s="117">
        <f ca="1">calculations!AF96</f>
        <v>1.0587410935258013</v>
      </c>
      <c r="M77" s="118">
        <f ca="1">calculations!AK96</f>
        <v>0.59972970807291115</v>
      </c>
      <c r="N77" s="112"/>
      <c r="O77" s="119"/>
      <c r="P77" s="119"/>
      <c r="Q77" s="119"/>
      <c r="R77" s="119"/>
      <c r="S77" s="120"/>
      <c r="T77" s="120"/>
      <c r="U77" s="120"/>
      <c r="V77" s="120"/>
      <c r="W77" s="120"/>
      <c r="X77" s="120"/>
      <c r="Y77" s="120"/>
      <c r="Z77" s="120"/>
      <c r="AA77" s="121"/>
      <c r="AB77" s="121"/>
      <c r="AC77" s="121"/>
      <c r="AD77" s="121"/>
      <c r="AE77" s="121"/>
      <c r="AF77" s="120"/>
      <c r="AG77" s="120"/>
      <c r="AH77" s="120"/>
      <c r="AI77" s="120"/>
      <c r="AJ77" s="120"/>
      <c r="AK77" s="122"/>
      <c r="AL77" s="119"/>
      <c r="AM77" s="119"/>
      <c r="AN77" s="119"/>
      <c r="AO77" s="119"/>
      <c r="AP77" s="119"/>
      <c r="AQ77" s="119"/>
      <c r="AR77" s="119"/>
      <c r="AS77" s="119"/>
      <c r="AT77" s="119"/>
      <c r="AU77" s="119"/>
      <c r="AV77" s="120"/>
    </row>
    <row r="78" spans="1:48" s="115" customFormat="1" ht="11.1" customHeight="1" x14ac:dyDescent="0.2">
      <c r="A78" s="112"/>
      <c r="B78" s="112"/>
      <c r="C78" s="112"/>
      <c r="D78" s="112"/>
      <c r="E78" s="114">
        <v>42</v>
      </c>
      <c r="F78" s="171"/>
      <c r="G78" s="171"/>
      <c r="H78" s="171"/>
      <c r="I78" s="114"/>
      <c r="K78" s="116">
        <f>calculations!AA97</f>
        <v>31</v>
      </c>
      <c r="L78" s="117">
        <f ca="1">calculations!AF97</f>
        <v>1.0776646594115793</v>
      </c>
      <c r="M78" s="118">
        <f ca="1">calculations!AK97</f>
        <v>0.639228524018985</v>
      </c>
      <c r="N78" s="112"/>
      <c r="O78" s="119"/>
      <c r="P78" s="119"/>
      <c r="Q78" s="119"/>
      <c r="R78" s="119"/>
      <c r="S78" s="120"/>
      <c r="T78" s="120"/>
      <c r="U78" s="120"/>
      <c r="V78" s="120"/>
      <c r="W78" s="120"/>
      <c r="X78" s="120"/>
      <c r="Y78" s="120"/>
      <c r="Z78" s="120"/>
      <c r="AA78" s="121"/>
      <c r="AB78" s="121"/>
      <c r="AC78" s="121"/>
      <c r="AD78" s="121"/>
      <c r="AE78" s="121"/>
      <c r="AF78" s="120"/>
      <c r="AG78" s="120"/>
      <c r="AH78" s="120"/>
      <c r="AI78" s="120"/>
      <c r="AJ78" s="120"/>
      <c r="AK78" s="122"/>
      <c r="AL78" s="119"/>
      <c r="AM78" s="119"/>
      <c r="AN78" s="119"/>
      <c r="AO78" s="119"/>
      <c r="AP78" s="119"/>
      <c r="AQ78" s="119"/>
      <c r="AR78" s="119"/>
      <c r="AS78" s="119"/>
      <c r="AT78" s="119"/>
      <c r="AU78" s="119"/>
      <c r="AV78" s="120"/>
    </row>
    <row r="79" spans="1:48" s="115" customFormat="1" ht="11.1" customHeight="1" x14ac:dyDescent="0.2">
      <c r="A79" s="112"/>
      <c r="B79" s="112"/>
      <c r="C79" s="112"/>
      <c r="D79" s="112"/>
      <c r="E79" s="114">
        <v>43</v>
      </c>
      <c r="F79" s="171"/>
      <c r="G79" s="171"/>
      <c r="H79" s="171"/>
      <c r="I79" s="114"/>
      <c r="K79" s="116">
        <f>calculations!AA98</f>
        <v>32</v>
      </c>
      <c r="L79" s="117">
        <f ca="1">calculations!AF98</f>
        <v>1.0945582988764602</v>
      </c>
      <c r="M79" s="118">
        <f ca="1">calculations!AK98</f>
        <v>0.67850461926779881</v>
      </c>
      <c r="N79" s="112"/>
      <c r="O79" s="119"/>
      <c r="P79" s="119"/>
      <c r="Q79" s="119"/>
      <c r="R79" s="119"/>
      <c r="S79" s="120"/>
      <c r="T79" s="120"/>
      <c r="U79" s="120"/>
      <c r="V79" s="120"/>
      <c r="W79" s="120"/>
      <c r="X79" s="120"/>
      <c r="Y79" s="120"/>
      <c r="Z79" s="120"/>
      <c r="AA79" s="121"/>
      <c r="AB79" s="121"/>
      <c r="AC79" s="121"/>
      <c r="AD79" s="121"/>
      <c r="AE79" s="121"/>
      <c r="AF79" s="120"/>
      <c r="AG79" s="120"/>
      <c r="AH79" s="120"/>
      <c r="AI79" s="120"/>
      <c r="AJ79" s="120"/>
      <c r="AK79" s="122"/>
      <c r="AL79" s="119"/>
      <c r="AM79" s="119"/>
      <c r="AN79" s="119"/>
      <c r="AO79" s="119"/>
      <c r="AP79" s="119"/>
      <c r="AQ79" s="119"/>
      <c r="AR79" s="119"/>
      <c r="AS79" s="119"/>
      <c r="AT79" s="119"/>
      <c r="AU79" s="119"/>
      <c r="AV79" s="120"/>
    </row>
    <row r="80" spans="1:48" s="115" customFormat="1" ht="11.1" customHeight="1" x14ac:dyDescent="0.2">
      <c r="A80" s="112"/>
      <c r="B80" s="112"/>
      <c r="C80" s="112"/>
      <c r="D80" s="112"/>
      <c r="E80" s="114">
        <v>44</v>
      </c>
      <c r="F80" s="171"/>
      <c r="G80" s="171"/>
      <c r="H80" s="171"/>
      <c r="I80" s="114"/>
      <c r="K80" s="116">
        <f>calculations!AA99</f>
        <v>33</v>
      </c>
      <c r="L80" s="117">
        <f ca="1">calculations!AF99</f>
        <v>1.1094711135115221</v>
      </c>
      <c r="M80" s="118">
        <f ca="1">calculations!AK99</f>
        <v>0.71753821712259558</v>
      </c>
      <c r="N80" s="112"/>
      <c r="O80" s="119"/>
      <c r="P80" s="119"/>
      <c r="Q80" s="119"/>
      <c r="R80" s="119"/>
      <c r="S80" s="120"/>
      <c r="T80" s="120"/>
      <c r="U80" s="120"/>
      <c r="V80" s="120"/>
      <c r="W80" s="120"/>
      <c r="X80" s="120"/>
      <c r="Y80" s="120"/>
      <c r="Z80" s="120"/>
      <c r="AA80" s="121"/>
      <c r="AB80" s="121"/>
      <c r="AC80" s="121"/>
      <c r="AD80" s="121"/>
      <c r="AE80" s="121"/>
      <c r="AF80" s="120"/>
      <c r="AG80" s="120"/>
      <c r="AH80" s="120"/>
      <c r="AI80" s="120"/>
      <c r="AJ80" s="120"/>
      <c r="AK80" s="122"/>
      <c r="AL80" s="119"/>
      <c r="AM80" s="119"/>
      <c r="AN80" s="119"/>
      <c r="AO80" s="119"/>
      <c r="AP80" s="119"/>
      <c r="AQ80" s="119"/>
      <c r="AR80" s="119"/>
      <c r="AS80" s="119"/>
      <c r="AT80" s="119"/>
      <c r="AU80" s="119"/>
      <c r="AV80" s="120"/>
    </row>
    <row r="81" spans="1:48" s="115" customFormat="1" ht="11.1" customHeight="1" x14ac:dyDescent="0.2">
      <c r="A81" s="112"/>
      <c r="B81" s="112"/>
      <c r="C81" s="112"/>
      <c r="D81" s="112"/>
      <c r="E81" s="114">
        <v>45</v>
      </c>
      <c r="F81" s="171"/>
      <c r="G81" s="171"/>
      <c r="H81" s="171"/>
      <c r="I81" s="114"/>
      <c r="K81" s="116">
        <f>calculations!AA100</f>
        <v>34</v>
      </c>
      <c r="L81" s="117">
        <f ca="1">calculations!AF100</f>
        <v>1.122451812490868</v>
      </c>
      <c r="M81" s="118">
        <f ca="1">calculations!AK100</f>
        <v>0.75630966299135916</v>
      </c>
      <c r="N81" s="112"/>
      <c r="O81" s="119"/>
      <c r="P81" s="119"/>
      <c r="Q81" s="119"/>
      <c r="R81" s="119"/>
      <c r="S81" s="120"/>
      <c r="T81" s="120"/>
      <c r="U81" s="120"/>
      <c r="V81" s="120"/>
      <c r="W81" s="120"/>
      <c r="X81" s="120"/>
      <c r="Y81" s="120"/>
      <c r="Z81" s="120"/>
      <c r="AA81" s="121"/>
      <c r="AB81" s="121"/>
      <c r="AC81" s="121"/>
      <c r="AD81" s="121"/>
      <c r="AE81" s="121"/>
      <c r="AF81" s="120"/>
      <c r="AG81" s="120"/>
      <c r="AH81" s="120"/>
      <c r="AI81" s="120"/>
      <c r="AJ81" s="120"/>
      <c r="AK81" s="122"/>
      <c r="AL81" s="119"/>
      <c r="AM81" s="119"/>
      <c r="AN81" s="119"/>
      <c r="AO81" s="119"/>
      <c r="AP81" s="119"/>
      <c r="AQ81" s="119"/>
      <c r="AR81" s="119"/>
      <c r="AS81" s="119"/>
      <c r="AT81" s="119"/>
      <c r="AU81" s="119"/>
      <c r="AV81" s="120"/>
    </row>
    <row r="82" spans="1:48" s="115" customFormat="1" ht="11.1" customHeight="1" x14ac:dyDescent="0.2">
      <c r="A82" s="112"/>
      <c r="B82" s="112"/>
      <c r="C82" s="112"/>
      <c r="D82" s="112"/>
      <c r="E82" s="114">
        <v>46</v>
      </c>
      <c r="F82" s="171"/>
      <c r="G82" s="171"/>
      <c r="H82" s="171"/>
      <c r="I82" s="114"/>
      <c r="K82" s="116">
        <f>calculations!AA101</f>
        <v>35</v>
      </c>
      <c r="L82" s="117">
        <f ca="1">calculations!AF101</f>
        <v>1.1335487091359027</v>
      </c>
      <c r="M82" s="118">
        <f ca="1">calculations!AK101</f>
        <v>0.7947994342834932</v>
      </c>
      <c r="N82" s="112"/>
      <c r="O82" s="119"/>
      <c r="P82" s="119"/>
      <c r="Q82" s="119"/>
      <c r="R82" s="119"/>
      <c r="S82" s="120"/>
      <c r="T82" s="120"/>
      <c r="U82" s="120"/>
      <c r="V82" s="120"/>
      <c r="W82" s="120"/>
      <c r="X82" s="120"/>
      <c r="Y82" s="120"/>
      <c r="Z82" s="120"/>
      <c r="AA82" s="121"/>
      <c r="AB82" s="121"/>
      <c r="AC82" s="121"/>
      <c r="AD82" s="121"/>
      <c r="AE82" s="121"/>
      <c r="AF82" s="120"/>
      <c r="AG82" s="120"/>
      <c r="AH82" s="120"/>
      <c r="AI82" s="120"/>
      <c r="AJ82" s="120"/>
      <c r="AK82" s="122"/>
      <c r="AL82" s="119"/>
      <c r="AM82" s="119"/>
      <c r="AN82" s="119"/>
      <c r="AO82" s="119"/>
      <c r="AP82" s="119"/>
      <c r="AQ82" s="119"/>
      <c r="AR82" s="119"/>
      <c r="AS82" s="119"/>
      <c r="AT82" s="119"/>
      <c r="AU82" s="119"/>
      <c r="AV82" s="120"/>
    </row>
    <row r="83" spans="1:48" s="115" customFormat="1" ht="11.1" customHeight="1" x14ac:dyDescent="0.2">
      <c r="A83" s="112"/>
      <c r="B83" s="112"/>
      <c r="C83" s="112"/>
      <c r="D83" s="112"/>
      <c r="E83" s="114">
        <v>47</v>
      </c>
      <c r="F83" s="171"/>
      <c r="G83" s="171"/>
      <c r="H83" s="171"/>
      <c r="I83" s="114"/>
      <c r="K83" s="116">
        <f>calculations!AA102</f>
        <v>36</v>
      </c>
      <c r="L83" s="117">
        <f ca="1">calculations!AF102</f>
        <v>1.1428097173900054</v>
      </c>
      <c r="M83" s="118">
        <f ca="1">calculations!AK102</f>
        <v>0.83298815024003292</v>
      </c>
      <c r="N83" s="112"/>
      <c r="O83" s="119"/>
      <c r="P83" s="119"/>
      <c r="Q83" s="119"/>
      <c r="R83" s="119"/>
      <c r="S83" s="120"/>
      <c r="T83" s="120"/>
      <c r="U83" s="120"/>
      <c r="V83" s="120"/>
      <c r="W83" s="120"/>
      <c r="X83" s="120"/>
      <c r="Y83" s="120"/>
      <c r="Z83" s="120"/>
      <c r="AA83" s="121"/>
      <c r="AB83" s="121"/>
      <c r="AC83" s="121"/>
      <c r="AD83" s="121"/>
      <c r="AE83" s="121"/>
      <c r="AF83" s="120"/>
      <c r="AG83" s="120"/>
      <c r="AH83" s="120"/>
      <c r="AI83" s="120"/>
      <c r="AJ83" s="120"/>
      <c r="AK83" s="122"/>
      <c r="AL83" s="119"/>
      <c r="AM83" s="119"/>
      <c r="AN83" s="119"/>
      <c r="AO83" s="119"/>
      <c r="AP83" s="119"/>
      <c r="AQ83" s="119"/>
      <c r="AR83" s="119"/>
      <c r="AS83" s="119"/>
      <c r="AT83" s="119"/>
      <c r="AU83" s="119"/>
      <c r="AV83" s="120"/>
    </row>
    <row r="84" spans="1:48" s="115" customFormat="1" ht="11.1" customHeight="1" x14ac:dyDescent="0.2">
      <c r="A84" s="112"/>
      <c r="B84" s="112"/>
      <c r="C84" s="112"/>
      <c r="D84" s="112"/>
      <c r="E84" s="114">
        <v>48</v>
      </c>
      <c r="F84" s="171"/>
      <c r="G84" s="171"/>
      <c r="H84" s="171"/>
      <c r="I84" s="114"/>
      <c r="K84" s="116">
        <f>calculations!AA103</f>
        <v>37</v>
      </c>
      <c r="L84" s="117">
        <f ca="1">calculations!AF103</f>
        <v>1.1502823481996449</v>
      </c>
      <c r="M84" s="118">
        <f ca="1">calculations!AK103</f>
        <v>0.87085658169244173</v>
      </c>
      <c r="N84" s="112"/>
      <c r="O84" s="119"/>
      <c r="P84" s="119"/>
      <c r="Q84" s="119"/>
      <c r="R84" s="119"/>
      <c r="S84" s="120"/>
      <c r="T84" s="120"/>
      <c r="U84" s="120"/>
      <c r="V84" s="120"/>
      <c r="W84" s="120"/>
      <c r="X84" s="120"/>
      <c r="Y84" s="120"/>
      <c r="Z84" s="120"/>
      <c r="AA84" s="121"/>
      <c r="AB84" s="121"/>
      <c r="AC84" s="121"/>
      <c r="AD84" s="121"/>
      <c r="AE84" s="121"/>
      <c r="AF84" s="120"/>
      <c r="AG84" s="120"/>
      <c r="AH84" s="120"/>
      <c r="AI84" s="120"/>
      <c r="AJ84" s="120"/>
      <c r="AK84" s="122"/>
      <c r="AL84" s="119"/>
      <c r="AM84" s="119"/>
      <c r="AN84" s="119"/>
      <c r="AO84" s="119"/>
      <c r="AP84" s="119"/>
      <c r="AQ84" s="119"/>
      <c r="AR84" s="119"/>
      <c r="AS84" s="119"/>
      <c r="AT84" s="119"/>
      <c r="AU84" s="119"/>
      <c r="AV84" s="120"/>
    </row>
    <row r="85" spans="1:48" s="115" customFormat="1" ht="11.1" customHeight="1" x14ac:dyDescent="0.2">
      <c r="A85" s="112"/>
      <c r="B85" s="112"/>
      <c r="C85" s="112"/>
      <c r="D85" s="112"/>
      <c r="E85" s="114">
        <v>49</v>
      </c>
      <c r="F85" s="171"/>
      <c r="G85" s="171"/>
      <c r="H85" s="171"/>
      <c r="I85" s="114"/>
      <c r="K85" s="116">
        <f>calculations!AA104</f>
        <v>38</v>
      </c>
      <c r="L85" s="117">
        <f ca="1">calculations!AF104</f>
        <v>1.1560137057977522</v>
      </c>
      <c r="M85" s="118">
        <f ca="1">calculations!AK104</f>
        <v>0.90838566074507587</v>
      </c>
      <c r="N85" s="112"/>
      <c r="O85" s="119"/>
      <c r="P85" s="119"/>
      <c r="Q85" s="119"/>
      <c r="R85" s="119"/>
      <c r="S85" s="120"/>
      <c r="T85" s="120"/>
      <c r="U85" s="120"/>
      <c r="V85" s="120"/>
      <c r="W85" s="120"/>
      <c r="X85" s="120"/>
      <c r="Y85" s="120"/>
      <c r="Z85" s="120"/>
      <c r="AA85" s="121"/>
      <c r="AB85" s="121"/>
      <c r="AC85" s="121"/>
      <c r="AD85" s="121"/>
      <c r="AE85" s="121"/>
      <c r="AF85" s="120"/>
      <c r="AG85" s="120"/>
      <c r="AH85" s="120"/>
      <c r="AI85" s="120"/>
      <c r="AJ85" s="120"/>
      <c r="AK85" s="122"/>
      <c r="AL85" s="119"/>
      <c r="AM85" s="119"/>
      <c r="AN85" s="119"/>
      <c r="AO85" s="119"/>
      <c r="AP85" s="119"/>
      <c r="AQ85" s="119"/>
      <c r="AR85" s="119"/>
      <c r="AS85" s="119"/>
      <c r="AT85" s="119"/>
      <c r="AU85" s="119"/>
      <c r="AV85" s="120"/>
    </row>
    <row r="86" spans="1:48" s="115" customFormat="1" ht="11.1" customHeight="1" x14ac:dyDescent="0.2">
      <c r="A86" s="112"/>
      <c r="B86" s="112"/>
      <c r="C86" s="112"/>
      <c r="D86" s="112"/>
      <c r="E86" s="114">
        <v>50</v>
      </c>
      <c r="F86" s="171"/>
      <c r="G86" s="171"/>
      <c r="H86" s="171"/>
      <c r="I86" s="114"/>
      <c r="K86" s="116">
        <f>calculations!AA105</f>
        <v>39</v>
      </c>
      <c r="L86" s="117">
        <f ca="1">calculations!AF105</f>
        <v>1.1600504838848917</v>
      </c>
      <c r="M86" s="118">
        <f ca="1">calculations!AK105</f>
        <v>0.94555649037644485</v>
      </c>
      <c r="N86" s="112"/>
      <c r="O86" s="119"/>
      <c r="P86" s="119"/>
      <c r="Q86" s="119"/>
      <c r="R86" s="119"/>
      <c r="S86" s="120"/>
      <c r="T86" s="120"/>
      <c r="U86" s="120"/>
      <c r="V86" s="120"/>
      <c r="W86" s="120"/>
      <c r="X86" s="120"/>
      <c r="Y86" s="120"/>
      <c r="Z86" s="120"/>
      <c r="AA86" s="121"/>
      <c r="AB86" s="121"/>
      <c r="AC86" s="121"/>
      <c r="AD86" s="121"/>
      <c r="AE86" s="121"/>
      <c r="AF86" s="120"/>
      <c r="AG86" s="120"/>
      <c r="AH86" s="120"/>
      <c r="AI86" s="120"/>
      <c r="AJ86" s="120"/>
      <c r="AK86" s="122"/>
      <c r="AL86" s="119"/>
      <c r="AM86" s="119"/>
      <c r="AN86" s="119"/>
      <c r="AO86" s="119"/>
      <c r="AP86" s="119"/>
      <c r="AQ86" s="119"/>
      <c r="AR86" s="119"/>
      <c r="AS86" s="119"/>
      <c r="AT86" s="119"/>
      <c r="AU86" s="119"/>
      <c r="AV86" s="120"/>
    </row>
    <row r="87" spans="1:48" s="115" customFormat="1" ht="11.1" customHeight="1" x14ac:dyDescent="0.2">
      <c r="A87" s="112"/>
      <c r="B87" s="112"/>
      <c r="C87" s="112"/>
      <c r="D87" s="112"/>
      <c r="E87" s="114">
        <v>51</v>
      </c>
      <c r="F87" s="171"/>
      <c r="G87" s="171"/>
      <c r="H87" s="171"/>
      <c r="I87" s="114"/>
      <c r="K87" s="116">
        <f>calculations!AA106</f>
        <v>40</v>
      </c>
      <c r="L87" s="117">
        <f ca="1">calculations!AF106</f>
        <v>1.1624389617034816</v>
      </c>
      <c r="M87" s="118">
        <f ca="1">calculations!AK106</f>
        <v>0.98235035395443004</v>
      </c>
      <c r="N87" s="112"/>
      <c r="O87" s="119"/>
      <c r="P87" s="119"/>
      <c r="Q87" s="119"/>
      <c r="R87" s="119"/>
      <c r="S87" s="120"/>
      <c r="T87" s="120"/>
      <c r="U87" s="120"/>
      <c r="V87" s="120"/>
      <c r="W87" s="120"/>
      <c r="X87" s="120"/>
      <c r="Y87" s="120"/>
      <c r="Z87" s="120"/>
      <c r="AA87" s="121"/>
      <c r="AB87" s="121"/>
      <c r="AC87" s="121"/>
      <c r="AD87" s="121"/>
      <c r="AE87" s="121"/>
      <c r="AF87" s="120"/>
      <c r="AG87" s="120"/>
      <c r="AH87" s="120"/>
      <c r="AI87" s="120"/>
      <c r="AJ87" s="120"/>
      <c r="AK87" s="122"/>
      <c r="AL87" s="119"/>
      <c r="AM87" s="119"/>
      <c r="AN87" s="119"/>
      <c r="AO87" s="119"/>
      <c r="AP87" s="119"/>
      <c r="AQ87" s="119"/>
      <c r="AR87" s="119"/>
      <c r="AS87" s="119"/>
      <c r="AT87" s="119"/>
      <c r="AU87" s="119"/>
      <c r="AV87" s="120"/>
    </row>
    <row r="88" spans="1:48" s="115" customFormat="1" ht="11.1" customHeight="1" x14ac:dyDescent="0.2">
      <c r="A88" s="112"/>
      <c r="B88" s="112"/>
      <c r="C88" s="112"/>
      <c r="D88" s="112"/>
      <c r="E88" s="114">
        <v>52</v>
      </c>
      <c r="F88" s="171"/>
      <c r="G88" s="171"/>
      <c r="H88" s="171"/>
      <c r="I88" s="114"/>
      <c r="K88" s="116">
        <f>calculations!AA107</f>
        <v>41</v>
      </c>
      <c r="L88" s="117">
        <f ca="1">calculations!AF107</f>
        <v>1.1632250000000002</v>
      </c>
      <c r="M88" s="118">
        <f ca="1">calculations!AK107</f>
        <v>1.018748724660673</v>
      </c>
      <c r="N88" s="112"/>
      <c r="O88" s="119"/>
      <c r="P88" s="119"/>
      <c r="Q88" s="119"/>
      <c r="R88" s="119"/>
      <c r="S88" s="120"/>
      <c r="T88" s="120"/>
      <c r="U88" s="120"/>
      <c r="V88" s="120"/>
      <c r="W88" s="120"/>
      <c r="X88" s="120"/>
      <c r="Y88" s="120"/>
      <c r="Z88" s="120"/>
      <c r="AA88" s="121"/>
      <c r="AB88" s="121"/>
      <c r="AC88" s="121"/>
      <c r="AD88" s="121"/>
      <c r="AE88" s="121"/>
      <c r="AF88" s="120"/>
      <c r="AG88" s="120"/>
      <c r="AH88" s="120"/>
      <c r="AI88" s="120"/>
      <c r="AJ88" s="120"/>
      <c r="AK88" s="122"/>
      <c r="AL88" s="119"/>
      <c r="AM88" s="119"/>
      <c r="AN88" s="119"/>
      <c r="AO88" s="119"/>
      <c r="AP88" s="119"/>
      <c r="AQ88" s="119"/>
      <c r="AR88" s="119"/>
      <c r="AS88" s="119"/>
      <c r="AT88" s="119"/>
      <c r="AU88" s="119"/>
      <c r="AV88" s="120"/>
    </row>
    <row r="89" spans="1:48" s="115" customFormat="1" ht="11.1" customHeight="1" x14ac:dyDescent="0.2">
      <c r="A89" s="112"/>
      <c r="B89" s="112"/>
      <c r="C89" s="112"/>
      <c r="D89" s="112"/>
      <c r="E89" s="114">
        <v>53</v>
      </c>
      <c r="F89" s="171"/>
      <c r="G89" s="171"/>
      <c r="H89" s="171"/>
      <c r="I89" s="114"/>
      <c r="K89" s="116">
        <f>calculations!AA108</f>
        <v>42</v>
      </c>
      <c r="L89" s="117">
        <f ca="1">calculations!AF108</f>
        <v>1.162454036869784</v>
      </c>
      <c r="M89" s="118">
        <f ca="1">calculations!AK108</f>
        <v>1.0547332748193872</v>
      </c>
      <c r="N89" s="112"/>
      <c r="O89" s="119"/>
      <c r="P89" s="119"/>
      <c r="Q89" s="119"/>
      <c r="R89" s="119"/>
      <c r="S89" s="120"/>
      <c r="T89" s="120"/>
      <c r="U89" s="120"/>
      <c r="V89" s="120"/>
      <c r="W89" s="120"/>
      <c r="X89" s="120"/>
      <c r="Y89" s="120"/>
      <c r="Z89" s="120"/>
      <c r="AA89" s="121"/>
      <c r="AB89" s="121"/>
      <c r="AC89" s="121"/>
      <c r="AD89" s="121"/>
      <c r="AE89" s="121"/>
      <c r="AF89" s="120"/>
      <c r="AG89" s="120"/>
      <c r="AH89" s="120"/>
      <c r="AI89" s="120"/>
      <c r="AJ89" s="120"/>
      <c r="AK89" s="122"/>
      <c r="AL89" s="119"/>
      <c r="AM89" s="119"/>
      <c r="AN89" s="119"/>
      <c r="AO89" s="119"/>
      <c r="AP89" s="119"/>
      <c r="AQ89" s="119"/>
      <c r="AR89" s="119"/>
      <c r="AS89" s="119"/>
      <c r="AT89" s="119"/>
      <c r="AU89" s="119"/>
      <c r="AV89" s="120"/>
    </row>
    <row r="90" spans="1:48" s="115" customFormat="1" ht="11.1" customHeight="1" x14ac:dyDescent="0.2">
      <c r="A90" s="112"/>
      <c r="B90" s="112"/>
      <c r="C90" s="112"/>
      <c r="D90" s="112"/>
      <c r="E90" s="114">
        <v>54</v>
      </c>
      <c r="F90" s="171"/>
      <c r="G90" s="171"/>
      <c r="H90" s="171"/>
      <c r="I90" s="114"/>
      <c r="K90" s="116">
        <f>calculations!AA109</f>
        <v>43</v>
      </c>
      <c r="L90" s="117">
        <f ca="1">calculations!AF109</f>
        <v>1.1601710834786294</v>
      </c>
      <c r="M90" s="118">
        <f ca="1">calculations!AK109</f>
        <v>1.0902858851258932</v>
      </c>
      <c r="N90" s="112"/>
      <c r="O90" s="119"/>
      <c r="P90" s="119"/>
      <c r="Q90" s="119"/>
      <c r="R90" s="119"/>
      <c r="S90" s="120"/>
      <c r="T90" s="120"/>
      <c r="U90" s="120"/>
      <c r="V90" s="120"/>
      <c r="W90" s="120"/>
      <c r="X90" s="120"/>
      <c r="Y90" s="120"/>
      <c r="Z90" s="120"/>
      <c r="AA90" s="121"/>
      <c r="AB90" s="121"/>
      <c r="AC90" s="121"/>
      <c r="AD90" s="121"/>
      <c r="AE90" s="121"/>
      <c r="AF90" s="120"/>
      <c r="AG90" s="120"/>
      <c r="AH90" s="120"/>
      <c r="AI90" s="120"/>
      <c r="AJ90" s="120"/>
      <c r="AK90" s="122"/>
      <c r="AL90" s="119"/>
      <c r="AM90" s="119"/>
      <c r="AN90" s="119"/>
      <c r="AO90" s="119"/>
      <c r="AP90" s="119"/>
      <c r="AQ90" s="119"/>
      <c r="AR90" s="119"/>
      <c r="AS90" s="119"/>
      <c r="AT90" s="119"/>
      <c r="AU90" s="119"/>
      <c r="AV90" s="120"/>
    </row>
    <row r="91" spans="1:48" s="115" customFormat="1" ht="11.1" customHeight="1" x14ac:dyDescent="0.2">
      <c r="A91" s="112"/>
      <c r="B91" s="112"/>
      <c r="C91" s="112"/>
      <c r="D91" s="112"/>
      <c r="E91" s="114">
        <v>55</v>
      </c>
      <c r="F91" s="171"/>
      <c r="G91" s="171"/>
      <c r="H91" s="171"/>
      <c r="I91" s="114"/>
      <c r="K91" s="116">
        <f>calculations!AA110</f>
        <v>44</v>
      </c>
      <c r="L91" s="117">
        <f ca="1">calculations!AF110</f>
        <v>1.1564207196550331</v>
      </c>
      <c r="M91" s="118">
        <f ca="1">calculations!AK110</f>
        <v>1.1253886537702351</v>
      </c>
      <c r="N91" s="112"/>
      <c r="O91" s="119"/>
      <c r="P91" s="119"/>
      <c r="Q91" s="119"/>
      <c r="R91" s="119"/>
      <c r="S91" s="120"/>
      <c r="T91" s="120"/>
      <c r="U91" s="120"/>
      <c r="V91" s="120"/>
      <c r="W91" s="120"/>
      <c r="X91" s="120"/>
      <c r="Y91" s="120"/>
      <c r="Z91" s="120"/>
      <c r="AA91" s="121"/>
      <c r="AB91" s="121"/>
      <c r="AC91" s="121"/>
      <c r="AD91" s="121"/>
      <c r="AE91" s="121"/>
      <c r="AF91" s="120"/>
      <c r="AG91" s="120"/>
      <c r="AH91" s="120"/>
      <c r="AI91" s="120"/>
      <c r="AJ91" s="120"/>
      <c r="AK91" s="122"/>
      <c r="AL91" s="119"/>
      <c r="AM91" s="119"/>
      <c r="AN91" s="119"/>
      <c r="AO91" s="119"/>
      <c r="AP91" s="119"/>
      <c r="AQ91" s="119"/>
      <c r="AR91" s="119"/>
      <c r="AS91" s="119"/>
      <c r="AT91" s="119"/>
      <c r="AU91" s="119"/>
      <c r="AV91" s="120"/>
    </row>
    <row r="92" spans="1:48" s="115" customFormat="1" ht="11.1" customHeight="1" x14ac:dyDescent="0.2">
      <c r="A92" s="112"/>
      <c r="B92" s="112"/>
      <c r="C92" s="112"/>
      <c r="D92" s="112"/>
      <c r="E92" s="114">
        <v>56</v>
      </c>
      <c r="F92" s="171"/>
      <c r="G92" s="171"/>
      <c r="H92" s="171"/>
      <c r="I92" s="114"/>
      <c r="K92" s="116">
        <f>calculations!AA111</f>
        <v>45</v>
      </c>
      <c r="L92" s="117">
        <f ca="1">calculations!AF111</f>
        <v>1.1512470893464428</v>
      </c>
      <c r="M92" s="118">
        <f ca="1">calculations!AK111</f>
        <v>1.1600239054512815</v>
      </c>
      <c r="N92" s="112"/>
      <c r="O92" s="119"/>
      <c r="P92" s="119"/>
      <c r="Q92" s="119"/>
      <c r="R92" s="119"/>
      <c r="S92" s="120"/>
      <c r="T92" s="120"/>
      <c r="U92" s="120"/>
      <c r="V92" s="120"/>
      <c r="W92" s="120"/>
      <c r="X92" s="120"/>
      <c r="Y92" s="120"/>
      <c r="Z92" s="120"/>
      <c r="AA92" s="121"/>
      <c r="AB92" s="121"/>
      <c r="AC92" s="121"/>
      <c r="AD92" s="121"/>
      <c r="AE92" s="121"/>
      <c r="AF92" s="120"/>
      <c r="AG92" s="120"/>
      <c r="AH92" s="120"/>
      <c r="AI92" s="120"/>
      <c r="AJ92" s="120"/>
      <c r="AK92" s="122"/>
      <c r="AL92" s="119"/>
      <c r="AM92" s="119"/>
      <c r="AN92" s="119"/>
      <c r="AO92" s="119"/>
      <c r="AP92" s="119"/>
      <c r="AQ92" s="119"/>
      <c r="AR92" s="119"/>
      <c r="AS92" s="119"/>
      <c r="AT92" s="119"/>
      <c r="AU92" s="119"/>
      <c r="AV92" s="120"/>
    </row>
    <row r="93" spans="1:48" s="115" customFormat="1" ht="11.1" customHeight="1" x14ac:dyDescent="0.2">
      <c r="A93" s="112"/>
      <c r="B93" s="112"/>
      <c r="C93" s="112"/>
      <c r="D93" s="112"/>
      <c r="E93" s="114">
        <v>57</v>
      </c>
      <c r="F93" s="171"/>
      <c r="G93" s="171"/>
      <c r="H93" s="171"/>
      <c r="I93" s="114"/>
      <c r="K93" s="116">
        <f>calculations!AA112</f>
        <v>46</v>
      </c>
      <c r="L93" s="117">
        <f ca="1">calculations!AF112</f>
        <v>1.144693895932416</v>
      </c>
      <c r="M93" s="118">
        <f ca="1">calculations!AK112</f>
        <v>1.1941742002767703</v>
      </c>
      <c r="N93" s="112"/>
      <c r="O93" s="119"/>
      <c r="P93" s="119"/>
      <c r="Q93" s="119"/>
      <c r="R93" s="119"/>
      <c r="S93" s="120"/>
      <c r="T93" s="120"/>
      <c r="U93" s="120"/>
      <c r="V93" s="120"/>
      <c r="W93" s="120"/>
      <c r="X93" s="120"/>
      <c r="Y93" s="120"/>
      <c r="Z93" s="120"/>
      <c r="AA93" s="121"/>
      <c r="AB93" s="121"/>
      <c r="AC93" s="121"/>
      <c r="AD93" s="121"/>
      <c r="AE93" s="121"/>
      <c r="AF93" s="120"/>
      <c r="AG93" s="120"/>
      <c r="AH93" s="120"/>
      <c r="AI93" s="120"/>
      <c r="AJ93" s="120"/>
      <c r="AK93" s="122"/>
      <c r="AL93" s="119"/>
      <c r="AM93" s="119"/>
      <c r="AN93" s="119"/>
      <c r="AO93" s="119"/>
      <c r="AP93" s="119"/>
      <c r="AQ93" s="119"/>
      <c r="AR93" s="119"/>
      <c r="AS93" s="119"/>
      <c r="AT93" s="119"/>
      <c r="AU93" s="119"/>
      <c r="AV93" s="120"/>
    </row>
    <row r="94" spans="1:48" s="115" customFormat="1" ht="11.1" customHeight="1" x14ac:dyDescent="0.2">
      <c r="A94" s="112"/>
      <c r="B94" s="112"/>
      <c r="C94" s="112"/>
      <c r="D94" s="112"/>
      <c r="E94" s="114">
        <v>58</v>
      </c>
      <c r="F94" s="171"/>
      <c r="G94" s="171"/>
      <c r="H94" s="171"/>
      <c r="I94" s="114"/>
      <c r="K94" s="116">
        <f>calculations!AA113</f>
        <v>47</v>
      </c>
      <c r="L94" s="117">
        <f ca="1">calculations!AF113</f>
        <v>1.1368043973870554</v>
      </c>
      <c r="M94" s="118">
        <f ca="1">calculations!AK113</f>
        <v>1.2278223425448216</v>
      </c>
      <c r="N94" s="112"/>
      <c r="O94" s="119"/>
      <c r="P94" s="119"/>
      <c r="Q94" s="119"/>
      <c r="R94" s="119"/>
      <c r="S94" s="120"/>
      <c r="T94" s="120"/>
      <c r="U94" s="120"/>
      <c r="V94" s="120"/>
      <c r="W94" s="120"/>
      <c r="X94" s="120"/>
      <c r="Y94" s="120"/>
      <c r="Z94" s="120"/>
      <c r="AA94" s="121"/>
      <c r="AB94" s="121"/>
      <c r="AC94" s="121"/>
      <c r="AD94" s="121"/>
      <c r="AE94" s="121"/>
      <c r="AF94" s="120"/>
      <c r="AG94" s="120"/>
      <c r="AH94" s="120"/>
      <c r="AI94" s="120"/>
      <c r="AJ94" s="120"/>
      <c r="AK94" s="122"/>
      <c r="AL94" s="119"/>
      <c r="AM94" s="119"/>
      <c r="AN94" s="119"/>
      <c r="AO94" s="119"/>
      <c r="AP94" s="119"/>
      <c r="AQ94" s="119"/>
      <c r="AR94" s="119"/>
      <c r="AS94" s="119"/>
      <c r="AT94" s="119"/>
      <c r="AU94" s="119"/>
      <c r="AV94" s="120"/>
    </row>
    <row r="95" spans="1:48" s="115" customFormat="1" ht="11.1" customHeight="1" x14ac:dyDescent="0.2">
      <c r="A95" s="112"/>
      <c r="B95" s="112"/>
      <c r="C95" s="112"/>
      <c r="D95" s="112"/>
      <c r="E95" s="114">
        <v>59</v>
      </c>
      <c r="F95" s="171"/>
      <c r="G95" s="171"/>
      <c r="H95" s="171"/>
      <c r="I95" s="114"/>
      <c r="K95" s="116">
        <f>calculations!AA114</f>
        <v>48</v>
      </c>
      <c r="L95" s="117">
        <f ca="1">calculations!AF114</f>
        <v>1.1276214012825068</v>
      </c>
      <c r="M95" s="118">
        <f ca="1">calculations!AK114</f>
        <v>1.26095138940249</v>
      </c>
      <c r="N95" s="112"/>
      <c r="O95" s="119"/>
      <c r="P95" s="119"/>
      <c r="Q95" s="119"/>
      <c r="R95" s="119"/>
      <c r="S95" s="120"/>
      <c r="T95" s="120"/>
      <c r="U95" s="120"/>
      <c r="V95" s="120"/>
      <c r="W95" s="120"/>
      <c r="X95" s="120"/>
      <c r="Y95" s="120"/>
      <c r="Z95" s="120"/>
      <c r="AA95" s="121"/>
      <c r="AB95" s="121"/>
      <c r="AC95" s="121"/>
      <c r="AD95" s="121"/>
      <c r="AE95" s="121"/>
      <c r="AF95" s="120"/>
      <c r="AG95" s="120"/>
      <c r="AH95" s="120"/>
      <c r="AI95" s="120"/>
      <c r="AJ95" s="120"/>
      <c r="AK95" s="122"/>
      <c r="AL95" s="119"/>
      <c r="AM95" s="119"/>
      <c r="AN95" s="119"/>
      <c r="AO95" s="119"/>
      <c r="AP95" s="119"/>
      <c r="AQ95" s="119"/>
      <c r="AR95" s="119"/>
      <c r="AS95" s="119"/>
      <c r="AT95" s="119"/>
      <c r="AU95" s="119"/>
      <c r="AV95" s="120"/>
    </row>
    <row r="96" spans="1:48" s="115" customFormat="1" ht="11.1" customHeight="1" x14ac:dyDescent="0.2">
      <c r="A96" s="112"/>
      <c r="B96" s="112"/>
      <c r="C96" s="112"/>
      <c r="D96" s="112"/>
      <c r="E96" s="114">
        <v>60</v>
      </c>
      <c r="F96" s="171"/>
      <c r="G96" s="171"/>
      <c r="H96" s="171"/>
      <c r="I96" s="114"/>
      <c r="K96" s="116">
        <f>calculations!AA115</f>
        <v>49</v>
      </c>
      <c r="L96" s="117">
        <f ca="1">calculations!AF115</f>
        <v>1.1171872596246619</v>
      </c>
      <c r="M96" s="118">
        <f ca="1">calculations!AK115</f>
        <v>1.2935446593770015</v>
      </c>
      <c r="N96" s="112"/>
      <c r="O96" s="119"/>
      <c r="P96" s="119"/>
      <c r="Q96" s="119"/>
      <c r="R96" s="119"/>
      <c r="S96" s="120"/>
      <c r="T96" s="120"/>
      <c r="U96" s="120"/>
      <c r="V96" s="120"/>
      <c r="W96" s="120"/>
      <c r="X96" s="120"/>
      <c r="Y96" s="120"/>
      <c r="Z96" s="120"/>
      <c r="AA96" s="121"/>
      <c r="AB96" s="121"/>
      <c r="AC96" s="121"/>
      <c r="AD96" s="121"/>
      <c r="AE96" s="121"/>
      <c r="AF96" s="120"/>
      <c r="AG96" s="120"/>
      <c r="AH96" s="120"/>
      <c r="AI96" s="120"/>
      <c r="AJ96" s="120"/>
      <c r="AK96" s="122"/>
      <c r="AL96" s="119"/>
      <c r="AM96" s="119"/>
      <c r="AN96" s="119"/>
      <c r="AO96" s="119"/>
      <c r="AP96" s="119"/>
      <c r="AQ96" s="119"/>
      <c r="AR96" s="119"/>
      <c r="AS96" s="119"/>
      <c r="AT96" s="119"/>
      <c r="AU96" s="119"/>
      <c r="AV96" s="120"/>
    </row>
    <row r="97" spans="1:48" s="115" customFormat="1" ht="11.1" customHeight="1" x14ac:dyDescent="0.2">
      <c r="A97" s="112"/>
      <c r="B97" s="112"/>
      <c r="C97" s="112"/>
      <c r="D97" s="112"/>
      <c r="E97" s="114">
        <v>61</v>
      </c>
      <c r="F97" s="171"/>
      <c r="G97" s="171"/>
      <c r="H97" s="171"/>
      <c r="I97" s="114"/>
      <c r="K97" s="116">
        <f>calculations!AA116</f>
        <v>50</v>
      </c>
      <c r="L97" s="117">
        <f ca="1">calculations!AF116</f>
        <v>1.1055438635115113</v>
      </c>
      <c r="M97" s="118">
        <f ca="1">calculations!AK116</f>
        <v>1.3255857407753788</v>
      </c>
      <c r="N97" s="112"/>
      <c r="O97" s="119"/>
      <c r="P97" s="119"/>
      <c r="Q97" s="119"/>
      <c r="R97" s="119"/>
      <c r="S97" s="120"/>
      <c r="T97" s="120"/>
      <c r="U97" s="120"/>
      <c r="V97" s="120"/>
      <c r="W97" s="120"/>
      <c r="X97" s="120"/>
      <c r="Y97" s="120"/>
      <c r="Z97" s="120"/>
      <c r="AA97" s="121"/>
      <c r="AB97" s="121"/>
      <c r="AC97" s="121"/>
      <c r="AD97" s="121"/>
      <c r="AE97" s="121"/>
      <c r="AF97" s="120"/>
      <c r="AG97" s="120"/>
      <c r="AH97" s="120"/>
      <c r="AI97" s="120"/>
      <c r="AJ97" s="120"/>
      <c r="AK97" s="122"/>
      <c r="AL97" s="119"/>
      <c r="AM97" s="119"/>
      <c r="AN97" s="119"/>
      <c r="AO97" s="119"/>
      <c r="AP97" s="119"/>
      <c r="AQ97" s="119"/>
      <c r="AR97" s="119"/>
      <c r="AS97" s="119"/>
      <c r="AT97" s="119"/>
      <c r="AU97" s="119"/>
      <c r="AV97" s="120"/>
    </row>
    <row r="98" spans="1:48" s="115" customFormat="1" ht="11.1" customHeight="1" x14ac:dyDescent="0.2">
      <c r="A98" s="112"/>
      <c r="B98" s="112"/>
      <c r="C98" s="112"/>
      <c r="D98" s="112"/>
      <c r="E98" s="114">
        <v>62</v>
      </c>
      <c r="F98" s="171"/>
      <c r="G98" s="171"/>
      <c r="H98" s="171"/>
      <c r="I98" s="114"/>
      <c r="K98" s="116">
        <f>calculations!AA117</f>
        <v>51</v>
      </c>
      <c r="L98" s="117">
        <f ca="1">calculations!AF117</f>
        <v>1.0927326376038102</v>
      </c>
      <c r="M98" s="118">
        <f ca="1">calculations!AK117</f>
        <v>1.3570584999482203</v>
      </c>
      <c r="N98" s="112"/>
      <c r="O98" s="119"/>
      <c r="P98" s="119"/>
      <c r="Q98" s="119"/>
      <c r="R98" s="119"/>
      <c r="S98" s="120"/>
      <c r="T98" s="120"/>
      <c r="U98" s="120"/>
      <c r="V98" s="120"/>
      <c r="W98" s="120"/>
      <c r="X98" s="120"/>
      <c r="Y98" s="120"/>
      <c r="Z98" s="120"/>
      <c r="AA98" s="121"/>
      <c r="AB98" s="121"/>
      <c r="AC98" s="121"/>
      <c r="AD98" s="121"/>
      <c r="AE98" s="121"/>
      <c r="AF98" s="120"/>
      <c r="AG98" s="120"/>
      <c r="AH98" s="120"/>
      <c r="AI98" s="120"/>
      <c r="AJ98" s="120"/>
      <c r="AK98" s="122"/>
      <c r="AL98" s="119"/>
      <c r="AM98" s="119"/>
      <c r="AN98" s="119"/>
      <c r="AO98" s="119"/>
      <c r="AP98" s="119"/>
      <c r="AQ98" s="119"/>
      <c r="AR98" s="119"/>
      <c r="AS98" s="119"/>
      <c r="AT98" s="119"/>
      <c r="AU98" s="119"/>
      <c r="AV98" s="120"/>
    </row>
    <row r="99" spans="1:48" s="115" customFormat="1" ht="11.1" customHeight="1" x14ac:dyDescent="0.2">
      <c r="A99" s="112"/>
      <c r="B99" s="112"/>
      <c r="C99" s="112"/>
      <c r="D99" s="112"/>
      <c r="E99" s="114">
        <v>63</v>
      </c>
      <c r="F99" s="171"/>
      <c r="G99" s="171"/>
      <c r="H99" s="171"/>
      <c r="I99" s="114"/>
      <c r="K99" s="116">
        <f>calculations!AA118</f>
        <v>52</v>
      </c>
      <c r="L99" s="117">
        <f ca="1">calculations!AF118</f>
        <v>1.0787945343968564</v>
      </c>
      <c r="M99" s="118">
        <f ca="1">calculations!AK118</f>
        <v>1.3879470894134811</v>
      </c>
      <c r="N99" s="112"/>
      <c r="O99" s="119"/>
      <c r="P99" s="119"/>
      <c r="Q99" s="119"/>
      <c r="R99" s="119"/>
      <c r="S99" s="120"/>
      <c r="T99" s="120"/>
      <c r="U99" s="120"/>
      <c r="V99" s="120"/>
      <c r="W99" s="120"/>
      <c r="X99" s="120"/>
      <c r="Y99" s="120"/>
      <c r="Z99" s="120"/>
      <c r="AA99" s="121"/>
      <c r="AB99" s="121"/>
      <c r="AC99" s="121"/>
      <c r="AD99" s="121"/>
      <c r="AE99" s="121"/>
      <c r="AF99" s="120"/>
      <c r="AG99" s="120"/>
      <c r="AH99" s="120"/>
      <c r="AI99" s="120"/>
      <c r="AJ99" s="120"/>
      <c r="AK99" s="122"/>
      <c r="AL99" s="119"/>
      <c r="AM99" s="119"/>
      <c r="AN99" s="119"/>
      <c r="AO99" s="119"/>
      <c r="AP99" s="119"/>
      <c r="AQ99" s="119"/>
      <c r="AR99" s="119"/>
      <c r="AS99" s="119"/>
      <c r="AT99" s="119"/>
      <c r="AU99" s="119"/>
      <c r="AV99" s="120"/>
    </row>
    <row r="100" spans="1:48" s="115" customFormat="1" ht="11.1" customHeight="1" x14ac:dyDescent="0.2">
      <c r="A100" s="112"/>
      <c r="B100" s="112"/>
      <c r="C100" s="112"/>
      <c r="D100" s="112"/>
      <c r="E100" s="114">
        <v>64</v>
      </c>
      <c r="F100" s="171"/>
      <c r="G100" s="171"/>
      <c r="H100" s="171"/>
      <c r="I100" s="114"/>
      <c r="K100" s="116">
        <f>calculations!AA119</f>
        <v>53</v>
      </c>
      <c r="L100" s="117">
        <f ca="1">calculations!AF119</f>
        <v>1.063770028281225</v>
      </c>
      <c r="M100" s="118">
        <f ca="1">calculations!AK119</f>
        <v>1.4182359558361559</v>
      </c>
      <c r="N100" s="112"/>
      <c r="O100" s="119"/>
      <c r="P100" s="119"/>
      <c r="Q100" s="119"/>
      <c r="R100" s="119"/>
      <c r="S100" s="120"/>
      <c r="T100" s="120"/>
      <c r="U100" s="120"/>
      <c r="V100" s="120"/>
      <c r="W100" s="120"/>
      <c r="X100" s="120"/>
      <c r="Y100" s="120"/>
      <c r="Z100" s="120"/>
      <c r="AA100" s="121"/>
      <c r="AB100" s="121"/>
      <c r="AC100" s="121"/>
      <c r="AD100" s="121"/>
      <c r="AE100" s="121"/>
      <c r="AF100" s="120"/>
      <c r="AG100" s="120"/>
      <c r="AH100" s="120"/>
      <c r="AI100" s="120"/>
      <c r="AJ100" s="120"/>
      <c r="AK100" s="122"/>
      <c r="AL100" s="119"/>
      <c r="AM100" s="119"/>
      <c r="AN100" s="119"/>
      <c r="AO100" s="119"/>
      <c r="AP100" s="119"/>
      <c r="AQ100" s="119"/>
      <c r="AR100" s="119"/>
      <c r="AS100" s="119"/>
      <c r="AT100" s="119"/>
      <c r="AU100" s="119"/>
      <c r="AV100" s="120"/>
    </row>
    <row r="101" spans="1:48" s="115" customFormat="1" ht="11.1" customHeight="1" x14ac:dyDescent="0.2">
      <c r="A101" s="112"/>
      <c r="B101" s="112"/>
      <c r="C101" s="112"/>
      <c r="D101" s="112"/>
      <c r="E101" s="114">
        <v>65</v>
      </c>
      <c r="F101" s="171"/>
      <c r="G101" s="171"/>
      <c r="H101" s="171"/>
      <c r="I101" s="114"/>
      <c r="K101" s="116">
        <f>calculations!AA120</f>
        <v>54</v>
      </c>
      <c r="L101" s="117">
        <f ca="1">calculations!AF120</f>
        <v>1.0476991093792454</v>
      </c>
      <c r="M101" s="118">
        <f ca="1">calculations!AK120</f>
        <v>1.447909847859852</v>
      </c>
      <c r="N101" s="112"/>
      <c r="O101" s="119"/>
      <c r="P101" s="119"/>
      <c r="Q101" s="119"/>
      <c r="R101" s="119"/>
      <c r="S101" s="120"/>
      <c r="T101" s="120"/>
      <c r="U101" s="120"/>
      <c r="V101" s="120"/>
      <c r="W101" s="120"/>
      <c r="X101" s="120"/>
      <c r="Y101" s="120"/>
      <c r="Z101" s="120"/>
      <c r="AA101" s="121"/>
      <c r="AB101" s="121"/>
      <c r="AC101" s="121"/>
      <c r="AD101" s="121"/>
      <c r="AE101" s="121"/>
      <c r="AF101" s="120"/>
      <c r="AG101" s="120"/>
      <c r="AH101" s="120"/>
      <c r="AI101" s="120"/>
      <c r="AJ101" s="120"/>
      <c r="AK101" s="122"/>
      <c r="AL101" s="119"/>
      <c r="AM101" s="119"/>
      <c r="AN101" s="119"/>
      <c r="AO101" s="119"/>
      <c r="AP101" s="119"/>
      <c r="AQ101" s="119"/>
      <c r="AR101" s="119"/>
      <c r="AS101" s="119"/>
      <c r="AT101" s="119"/>
      <c r="AU101" s="119"/>
      <c r="AV101" s="120"/>
    </row>
    <row r="102" spans="1:48" s="115" customFormat="1" ht="11.1" customHeight="1" x14ac:dyDescent="0.2">
      <c r="A102" s="112"/>
      <c r="B102" s="112"/>
      <c r="C102" s="112"/>
      <c r="D102" s="112"/>
      <c r="E102" s="114">
        <v>66</v>
      </c>
      <c r="F102" s="171"/>
      <c r="G102" s="171"/>
      <c r="H102" s="171"/>
      <c r="I102" s="114"/>
      <c r="K102" s="116">
        <f>calculations!AA121</f>
        <v>55</v>
      </c>
      <c r="L102" s="117">
        <f ca="1">calculations!AF121</f>
        <v>1.0306212771428074</v>
      </c>
      <c r="M102" s="118">
        <f ca="1">calculations!AK121</f>
        <v>1.4769538237863069</v>
      </c>
      <c r="N102" s="112"/>
      <c r="O102" s="119"/>
      <c r="P102" s="119"/>
      <c r="Q102" s="119"/>
      <c r="R102" s="119"/>
      <c r="S102" s="120"/>
      <c r="T102" s="120"/>
      <c r="U102" s="120"/>
      <c r="V102" s="120"/>
      <c r="W102" s="120"/>
      <c r="X102" s="120"/>
      <c r="Y102" s="120"/>
      <c r="Z102" s="120"/>
      <c r="AA102" s="121"/>
      <c r="AB102" s="121"/>
      <c r="AC102" s="121"/>
      <c r="AD102" s="121"/>
      <c r="AE102" s="121"/>
      <c r="AF102" s="120"/>
      <c r="AG102" s="120"/>
      <c r="AH102" s="120"/>
      <c r="AI102" s="120"/>
      <c r="AJ102" s="120"/>
      <c r="AK102" s="122"/>
      <c r="AL102" s="119"/>
      <c r="AM102" s="119"/>
      <c r="AN102" s="119"/>
      <c r="AO102" s="119"/>
      <c r="AP102" s="119"/>
      <c r="AQ102" s="119"/>
      <c r="AR102" s="119"/>
      <c r="AS102" s="119"/>
      <c r="AT102" s="119"/>
      <c r="AU102" s="119"/>
      <c r="AV102" s="120"/>
    </row>
    <row r="103" spans="1:48" s="115" customFormat="1" ht="11.1" customHeight="1" x14ac:dyDescent="0.2">
      <c r="A103" s="112"/>
      <c r="B103" s="112"/>
      <c r="C103" s="112"/>
      <c r="D103" s="112"/>
      <c r="E103" s="114">
        <v>67</v>
      </c>
      <c r="F103" s="171"/>
      <c r="G103" s="171"/>
      <c r="H103" s="171"/>
      <c r="I103" s="114"/>
      <c r="K103" s="116">
        <f>calculations!AA122</f>
        <v>56</v>
      </c>
      <c r="L103" s="117">
        <f ca="1">calculations!AF122</f>
        <v>1.0125755336967699</v>
      </c>
      <c r="M103" s="118">
        <f ca="1">calculations!AK122</f>
        <v>1.5053532590989822</v>
      </c>
      <c r="N103" s="112"/>
      <c r="O103" s="119"/>
      <c r="P103" s="119"/>
      <c r="Q103" s="119"/>
      <c r="R103" s="119"/>
      <c r="S103" s="120"/>
      <c r="T103" s="120"/>
      <c r="U103" s="120"/>
      <c r="V103" s="120"/>
      <c r="W103" s="120"/>
      <c r="X103" s="120"/>
      <c r="Y103" s="120"/>
      <c r="Z103" s="120"/>
      <c r="AA103" s="121"/>
      <c r="AB103" s="121"/>
      <c r="AC103" s="121"/>
      <c r="AD103" s="121"/>
      <c r="AE103" s="121"/>
      <c r="AF103" s="120"/>
      <c r="AG103" s="120"/>
      <c r="AH103" s="120"/>
      <c r="AI103" s="120"/>
      <c r="AJ103" s="120"/>
      <c r="AK103" s="122"/>
      <c r="AL103" s="119"/>
      <c r="AM103" s="119"/>
      <c r="AN103" s="119"/>
      <c r="AO103" s="119"/>
      <c r="AP103" s="119"/>
      <c r="AQ103" s="119"/>
      <c r="AR103" s="119"/>
      <c r="AS103" s="119"/>
      <c r="AT103" s="119"/>
      <c r="AU103" s="119"/>
      <c r="AV103" s="120"/>
    </row>
    <row r="104" spans="1:48" s="115" customFormat="1" ht="11.1" customHeight="1" x14ac:dyDescent="0.2">
      <c r="A104" s="112"/>
      <c r="B104" s="112"/>
      <c r="C104" s="112"/>
      <c r="D104" s="112"/>
      <c r="E104" s="114">
        <v>68</v>
      </c>
      <c r="F104" s="171"/>
      <c r="G104" s="171"/>
      <c r="H104" s="171"/>
      <c r="I104" s="114"/>
      <c r="K104" s="116">
        <f>calculations!AA123</f>
        <v>57</v>
      </c>
      <c r="L104" s="117">
        <f ca="1">calculations!AF123</f>
        <v>0.99360037691074854</v>
      </c>
      <c r="M104" s="118">
        <f ca="1">calculations!AK123</f>
        <v>1.5330938538269498</v>
      </c>
      <c r="N104" s="112"/>
      <c r="O104" s="119"/>
      <c r="P104" s="119"/>
      <c r="Q104" s="119"/>
      <c r="R104" s="119"/>
      <c r="S104" s="120"/>
      <c r="T104" s="120"/>
      <c r="U104" s="120"/>
      <c r="V104" s="120"/>
      <c r="W104" s="120"/>
      <c r="X104" s="120"/>
      <c r="Y104" s="120"/>
      <c r="Z104" s="120"/>
      <c r="AA104" s="121"/>
      <c r="AB104" s="121"/>
      <c r="AC104" s="121"/>
      <c r="AD104" s="121"/>
      <c r="AE104" s="121"/>
      <c r="AF104" s="120"/>
      <c r="AG104" s="120"/>
      <c r="AH104" s="120"/>
      <c r="AI104" s="120"/>
      <c r="AJ104" s="120"/>
      <c r="AK104" s="122"/>
      <c r="AL104" s="119"/>
      <c r="AM104" s="119"/>
      <c r="AN104" s="119"/>
      <c r="AO104" s="119"/>
      <c r="AP104" s="119"/>
      <c r="AQ104" s="119"/>
      <c r="AR104" s="119"/>
      <c r="AS104" s="119"/>
      <c r="AT104" s="119"/>
      <c r="AU104" s="119"/>
      <c r="AV104" s="120"/>
    </row>
    <row r="105" spans="1:48" s="115" customFormat="1" ht="11.1" customHeight="1" x14ac:dyDescent="0.2">
      <c r="A105" s="112"/>
      <c r="B105" s="112"/>
      <c r="C105" s="112"/>
      <c r="D105" s="112"/>
      <c r="E105" s="114">
        <v>69</v>
      </c>
      <c r="F105" s="171"/>
      <c r="G105" s="171"/>
      <c r="H105" s="171"/>
      <c r="I105" s="114"/>
      <c r="K105" s="116">
        <f>calculations!AA124</f>
        <v>58</v>
      </c>
      <c r="L105" s="117">
        <f ca="1">calculations!AF124</f>
        <v>0.97373379318038933</v>
      </c>
      <c r="M105" s="118">
        <f ca="1">calculations!AK124</f>
        <v>1.5601616397453564</v>
      </c>
      <c r="N105" s="112"/>
      <c r="O105" s="119"/>
      <c r="P105" s="119"/>
      <c r="Q105" s="119"/>
      <c r="R105" s="119"/>
      <c r="S105" s="120"/>
      <c r="T105" s="120"/>
      <c r="U105" s="120"/>
      <c r="V105" s="120"/>
      <c r="W105" s="120"/>
      <c r="X105" s="120"/>
      <c r="Y105" s="120"/>
      <c r="Z105" s="120"/>
      <c r="AA105" s="121"/>
      <c r="AB105" s="121"/>
      <c r="AC105" s="121"/>
      <c r="AD105" s="121"/>
      <c r="AE105" s="121"/>
      <c r="AF105" s="120"/>
      <c r="AG105" s="120"/>
      <c r="AH105" s="120"/>
      <c r="AI105" s="120"/>
      <c r="AJ105" s="120"/>
      <c r="AK105" s="122"/>
      <c r="AL105" s="119"/>
      <c r="AM105" s="119"/>
      <c r="AN105" s="119"/>
      <c r="AO105" s="119"/>
      <c r="AP105" s="119"/>
      <c r="AQ105" s="119"/>
      <c r="AR105" s="119"/>
      <c r="AS105" s="119"/>
      <c r="AT105" s="119"/>
      <c r="AU105" s="119"/>
      <c r="AV105" s="120"/>
    </row>
    <row r="106" spans="1:48" s="115" customFormat="1" ht="11.1" customHeight="1" x14ac:dyDescent="0.2">
      <c r="A106" s="112"/>
      <c r="B106" s="112"/>
      <c r="C106" s="112"/>
      <c r="D106" s="112"/>
      <c r="E106" s="114">
        <v>70</v>
      </c>
      <c r="F106" s="171"/>
      <c r="G106" s="171"/>
      <c r="H106" s="171"/>
      <c r="I106" s="114"/>
      <c r="K106" s="116">
        <f>calculations!AA125</f>
        <v>59</v>
      </c>
      <c r="L106" s="117">
        <f ca="1">calculations!AF125</f>
        <v>0.9530132498973416</v>
      </c>
      <c r="M106" s="118">
        <f ca="1">calculations!AK125</f>
        <v>1.5865429874088459</v>
      </c>
      <c r="N106" s="112"/>
      <c r="O106" s="119"/>
      <c r="P106" s="119"/>
      <c r="Q106" s="119"/>
      <c r="R106" s="119"/>
      <c r="S106" s="120"/>
      <c r="T106" s="120"/>
      <c r="U106" s="120"/>
      <c r="V106" s="120"/>
      <c r="W106" s="120"/>
      <c r="X106" s="120"/>
      <c r="Y106" s="120"/>
      <c r="Z106" s="120"/>
      <c r="AA106" s="121"/>
      <c r="AB106" s="121"/>
      <c r="AC106" s="121"/>
      <c r="AD106" s="121"/>
      <c r="AE106" s="121"/>
      <c r="AF106" s="120"/>
      <c r="AG106" s="120"/>
      <c r="AH106" s="120"/>
      <c r="AI106" s="120"/>
      <c r="AJ106" s="120"/>
      <c r="AK106" s="122"/>
      <c r="AL106" s="119"/>
      <c r="AM106" s="119"/>
      <c r="AN106" s="119"/>
      <c r="AO106" s="119"/>
      <c r="AP106" s="119"/>
      <c r="AQ106" s="119"/>
      <c r="AR106" s="119"/>
      <c r="AS106" s="119"/>
      <c r="AT106" s="119"/>
      <c r="AU106" s="119"/>
      <c r="AV106" s="120"/>
    </row>
    <row r="107" spans="1:48" s="115" customFormat="1" ht="11.1" customHeight="1" x14ac:dyDescent="0.2">
      <c r="A107" s="112"/>
      <c r="B107" s="112"/>
      <c r="C107" s="112"/>
      <c r="D107" s="112"/>
      <c r="E107" s="114">
        <v>71</v>
      </c>
      <c r="F107" s="171"/>
      <c r="G107" s="171"/>
      <c r="H107" s="171"/>
      <c r="I107" s="114"/>
      <c r="K107" s="116">
        <f>calculations!AA126</f>
        <v>60</v>
      </c>
      <c r="L107" s="117">
        <f ca="1">calculations!AF126</f>
        <v>0.93147568758500987</v>
      </c>
      <c r="M107" s="118">
        <f ca="1">calculations!AK126</f>
        <v>1.6122246130143962</v>
      </c>
      <c r="N107" s="112"/>
      <c r="O107" s="119"/>
      <c r="P107" s="119"/>
      <c r="Q107" s="119"/>
      <c r="R107" s="119"/>
      <c r="S107" s="120"/>
      <c r="T107" s="120"/>
      <c r="U107" s="120"/>
      <c r="V107" s="120"/>
      <c r="W107" s="120"/>
      <c r="X107" s="120"/>
      <c r="Y107" s="120"/>
      <c r="Z107" s="120"/>
      <c r="AA107" s="121"/>
      <c r="AB107" s="121"/>
      <c r="AC107" s="121"/>
      <c r="AD107" s="121"/>
      <c r="AE107" s="121"/>
      <c r="AF107" s="120"/>
      <c r="AG107" s="120"/>
      <c r="AH107" s="120"/>
      <c r="AI107" s="120"/>
      <c r="AJ107" s="120"/>
      <c r="AK107" s="122"/>
      <c r="AL107" s="119"/>
      <c r="AM107" s="119"/>
      <c r="AN107" s="119"/>
      <c r="AO107" s="119"/>
      <c r="AP107" s="119"/>
      <c r="AQ107" s="119"/>
      <c r="AR107" s="119"/>
      <c r="AS107" s="119"/>
      <c r="AT107" s="119"/>
      <c r="AU107" s="119"/>
      <c r="AV107" s="120"/>
    </row>
    <row r="108" spans="1:48" s="115" customFormat="1" ht="11.1" customHeight="1" x14ac:dyDescent="0.2">
      <c r="A108" s="112"/>
      <c r="B108" s="112"/>
      <c r="C108" s="112"/>
      <c r="D108" s="112"/>
      <c r="E108" s="114">
        <v>72</v>
      </c>
      <c r="F108" s="171"/>
      <c r="G108" s="171"/>
      <c r="H108" s="171"/>
      <c r="I108" s="114"/>
      <c r="K108" s="116">
        <f>calculations!AA127</f>
        <v>61</v>
      </c>
      <c r="L108" s="117">
        <f ca="1">calculations!AF127</f>
        <v>0.90915751167473269</v>
      </c>
      <c r="M108" s="118">
        <f ca="1">calculations!AK127</f>
        <v>1.6371935850901127</v>
      </c>
      <c r="N108" s="112"/>
      <c r="O108" s="119"/>
      <c r="P108" s="119"/>
      <c r="Q108" s="119"/>
      <c r="R108" s="119"/>
      <c r="S108" s="120"/>
      <c r="T108" s="120"/>
      <c r="U108" s="120"/>
      <c r="V108" s="120"/>
      <c r="W108" s="120"/>
      <c r="X108" s="120"/>
      <c r="Y108" s="120"/>
      <c r="Z108" s="120"/>
      <c r="AA108" s="121"/>
      <c r="AB108" s="121"/>
      <c r="AC108" s="121"/>
      <c r="AD108" s="121"/>
      <c r="AE108" s="121"/>
      <c r="AF108" s="120"/>
      <c r="AG108" s="120"/>
      <c r="AH108" s="120"/>
      <c r="AI108" s="120"/>
      <c r="AJ108" s="120"/>
      <c r="AK108" s="122"/>
      <c r="AL108" s="119"/>
      <c r="AM108" s="119"/>
      <c r="AN108" s="119"/>
      <c r="AO108" s="119"/>
      <c r="AP108" s="119"/>
      <c r="AQ108" s="119"/>
      <c r="AR108" s="119"/>
      <c r="AS108" s="119"/>
      <c r="AT108" s="119"/>
      <c r="AU108" s="119"/>
      <c r="AV108" s="120"/>
    </row>
    <row r="109" spans="1:48" s="115" customFormat="1" ht="11.1" customHeight="1" x14ac:dyDescent="0.2">
      <c r="A109" s="112"/>
      <c r="B109" s="112"/>
      <c r="C109" s="112"/>
      <c r="D109" s="112"/>
      <c r="E109" s="114">
        <v>73</v>
      </c>
      <c r="F109" s="171"/>
      <c r="G109" s="171"/>
      <c r="H109" s="171"/>
      <c r="I109" s="114"/>
      <c r="K109" s="116">
        <f>calculations!AA128</f>
        <v>62</v>
      </c>
      <c r="L109" s="117">
        <f ca="1">calculations!AF128</f>
        <v>0.8860945838942621</v>
      </c>
      <c r="M109" s="118">
        <f ca="1">calculations!AK128</f>
        <v>1.6614373310066146</v>
      </c>
      <c r="N109" s="112"/>
      <c r="O109" s="119"/>
      <c r="P109" s="119"/>
      <c r="Q109" s="119"/>
      <c r="R109" s="119"/>
      <c r="S109" s="120"/>
      <c r="T109" s="120"/>
      <c r="U109" s="120"/>
      <c r="V109" s="120"/>
      <c r="W109" s="120"/>
      <c r="X109" s="120"/>
      <c r="Y109" s="120"/>
      <c r="Z109" s="120"/>
      <c r="AA109" s="121"/>
      <c r="AB109" s="121"/>
      <c r="AC109" s="121"/>
      <c r="AD109" s="121"/>
      <c r="AE109" s="121"/>
      <c r="AF109" s="120"/>
      <c r="AG109" s="120"/>
      <c r="AH109" s="120"/>
      <c r="AI109" s="120"/>
      <c r="AJ109" s="120"/>
      <c r="AK109" s="122"/>
      <c r="AL109" s="119"/>
      <c r="AM109" s="119"/>
      <c r="AN109" s="119"/>
      <c r="AO109" s="119"/>
      <c r="AP109" s="119"/>
      <c r="AQ109" s="119"/>
      <c r="AR109" s="119"/>
      <c r="AS109" s="119"/>
      <c r="AT109" s="119"/>
      <c r="AU109" s="119"/>
      <c r="AV109" s="120"/>
    </row>
    <row r="110" spans="1:48" s="115" customFormat="1" ht="11.1" customHeight="1" x14ac:dyDescent="0.2">
      <c r="A110" s="112"/>
      <c r="B110" s="112"/>
      <c r="C110" s="112"/>
      <c r="D110" s="112"/>
      <c r="E110" s="114">
        <v>74</v>
      </c>
      <c r="F110" s="171"/>
      <c r="G110" s="171"/>
      <c r="H110" s="171"/>
      <c r="I110" s="114"/>
      <c r="K110" s="116">
        <f>calculations!AA129</f>
        <v>63</v>
      </c>
      <c r="L110" s="117">
        <f ca="1">calculations!AF129</f>
        <v>0.86232221323725156</v>
      </c>
      <c r="M110" s="118">
        <f ca="1">calculations!AK129</f>
        <v>1.6849436433077338</v>
      </c>
      <c r="N110" s="112"/>
      <c r="O110" s="119"/>
      <c r="P110" s="119"/>
      <c r="Q110" s="119"/>
      <c r="R110" s="119"/>
      <c r="S110" s="120"/>
      <c r="T110" s="120"/>
      <c r="U110" s="120"/>
      <c r="V110" s="120"/>
      <c r="W110" s="120"/>
      <c r="X110" s="120"/>
      <c r="Y110" s="120"/>
      <c r="Z110" s="120"/>
      <c r="AA110" s="121"/>
      <c r="AB110" s="121"/>
      <c r="AC110" s="121"/>
      <c r="AD110" s="121"/>
      <c r="AE110" s="121"/>
      <c r="AF110" s="120"/>
      <c r="AG110" s="120"/>
      <c r="AH110" s="120"/>
      <c r="AI110" s="120"/>
      <c r="AJ110" s="120"/>
      <c r="AK110" s="122"/>
      <c r="AL110" s="119"/>
      <c r="AM110" s="119"/>
      <c r="AN110" s="119"/>
      <c r="AO110" s="119"/>
      <c r="AP110" s="119"/>
      <c r="AQ110" s="119"/>
      <c r="AR110" s="119"/>
      <c r="AS110" s="119"/>
      <c r="AT110" s="119"/>
      <c r="AU110" s="119"/>
      <c r="AV110" s="120"/>
    </row>
    <row r="111" spans="1:48" s="115" customFormat="1" ht="11.1" customHeight="1" x14ac:dyDescent="0.2">
      <c r="A111" s="112"/>
      <c r="B111" s="112"/>
      <c r="C111" s="112"/>
      <c r="D111" s="112"/>
      <c r="E111" s="114">
        <v>75</v>
      </c>
      <c r="F111" s="171"/>
      <c r="G111" s="171"/>
      <c r="H111" s="171"/>
      <c r="I111" s="114"/>
      <c r="K111" s="116">
        <f>calculations!AA130</f>
        <v>64</v>
      </c>
      <c r="L111" s="117">
        <f ca="1">calculations!AF130</f>
        <v>0.83787514647880335</v>
      </c>
      <c r="M111" s="118">
        <f ca="1">calculations!AK130</f>
        <v>1.707700685857334</v>
      </c>
      <c r="N111" s="112"/>
      <c r="O111" s="119"/>
      <c r="P111" s="119"/>
      <c r="Q111" s="119"/>
      <c r="R111" s="119"/>
      <c r="S111" s="120"/>
      <c r="T111" s="120"/>
      <c r="U111" s="120"/>
      <c r="V111" s="120"/>
      <c r="W111" s="120"/>
      <c r="X111" s="120"/>
      <c r="Y111" s="120"/>
      <c r="Z111" s="120"/>
      <c r="AA111" s="121"/>
      <c r="AB111" s="121"/>
      <c r="AC111" s="121"/>
      <c r="AD111" s="121"/>
      <c r="AE111" s="121"/>
      <c r="AF111" s="120"/>
      <c r="AG111" s="120"/>
      <c r="AH111" s="120"/>
      <c r="AI111" s="120"/>
      <c r="AJ111" s="120"/>
      <c r="AK111" s="122"/>
      <c r="AL111" s="119"/>
      <c r="AM111" s="119"/>
      <c r="AN111" s="119"/>
      <c r="AO111" s="119"/>
      <c r="AP111" s="119"/>
      <c r="AQ111" s="119"/>
      <c r="AR111" s="119"/>
      <c r="AS111" s="119"/>
      <c r="AT111" s="119"/>
      <c r="AU111" s="119"/>
      <c r="AV111" s="120"/>
    </row>
    <row r="112" spans="1:48" s="115" customFormat="1" ht="11.1" customHeight="1" x14ac:dyDescent="0.2">
      <c r="A112" s="112"/>
      <c r="B112" s="112"/>
      <c r="C112" s="112"/>
      <c r="D112" s="112"/>
      <c r="E112" s="114">
        <v>76</v>
      </c>
      <c r="F112" s="171"/>
      <c r="G112" s="171"/>
      <c r="H112" s="171"/>
      <c r="I112" s="114"/>
      <c r="K112" s="116">
        <f>calculations!AA131</f>
        <v>65</v>
      </c>
      <c r="L112" s="117">
        <f ca="1">calculations!AF131</f>
        <v>0.81278755819792381</v>
      </c>
      <c r="M112" s="118">
        <f ca="1">calculations!AK131</f>
        <v>1.7296969997991631</v>
      </c>
      <c r="N112" s="112"/>
      <c r="O112" s="119"/>
      <c r="P112" s="119"/>
      <c r="Q112" s="119"/>
      <c r="R112" s="119"/>
      <c r="S112" s="120"/>
      <c r="T112" s="120"/>
      <c r="U112" s="120"/>
      <c r="V112" s="120"/>
      <c r="W112" s="120"/>
      <c r="X112" s="120"/>
      <c r="Y112" s="120"/>
      <c r="Z112" s="120"/>
      <c r="AA112" s="121"/>
      <c r="AB112" s="121"/>
      <c r="AC112" s="121"/>
      <c r="AD112" s="121"/>
      <c r="AE112" s="121"/>
      <c r="AF112" s="120"/>
      <c r="AG112" s="120"/>
      <c r="AH112" s="120"/>
      <c r="AI112" s="120"/>
      <c r="AJ112" s="120"/>
      <c r="AK112" s="122"/>
      <c r="AL112" s="119"/>
      <c r="AM112" s="119"/>
      <c r="AN112" s="119"/>
      <c r="AO112" s="119"/>
      <c r="AP112" s="119"/>
      <c r="AQ112" s="119"/>
      <c r="AR112" s="119"/>
      <c r="AS112" s="119"/>
      <c r="AT112" s="119"/>
      <c r="AU112" s="119"/>
      <c r="AV112" s="120"/>
    </row>
    <row r="113" spans="1:48" s="115" customFormat="1" ht="11.1" customHeight="1" x14ac:dyDescent="0.2">
      <c r="A113" s="112"/>
      <c r="B113" s="112"/>
      <c r="C113" s="112"/>
      <c r="D113" s="112"/>
      <c r="E113" s="114">
        <v>77</v>
      </c>
      <c r="F113" s="171"/>
      <c r="G113" s="171"/>
      <c r="H113" s="171"/>
      <c r="I113" s="114"/>
      <c r="K113" s="116">
        <f>calculations!AA132</f>
        <v>66</v>
      </c>
      <c r="L113" s="117">
        <f ca="1">calculations!AF132</f>
        <v>0.78709304026283711</v>
      </c>
      <c r="M113" s="118">
        <f ca="1">calculations!AK132</f>
        <v>1.7509215093267334</v>
      </c>
      <c r="N113" s="112"/>
      <c r="O113" s="119"/>
      <c r="P113" s="119"/>
      <c r="Q113" s="119"/>
      <c r="R113" s="119"/>
      <c r="S113" s="120"/>
      <c r="T113" s="120"/>
      <c r="U113" s="120"/>
      <c r="V113" s="120"/>
      <c r="W113" s="120"/>
      <c r="X113" s="120"/>
      <c r="Y113" s="120"/>
      <c r="Z113" s="120"/>
      <c r="AA113" s="121"/>
      <c r="AB113" s="121"/>
      <c r="AC113" s="121"/>
      <c r="AD113" s="121"/>
      <c r="AE113" s="121"/>
      <c r="AF113" s="120"/>
      <c r="AG113" s="120"/>
      <c r="AH113" s="120"/>
      <c r="AI113" s="120"/>
      <c r="AJ113" s="120"/>
      <c r="AK113" s="122"/>
      <c r="AL113" s="119"/>
      <c r="AM113" s="119"/>
      <c r="AN113" s="119"/>
      <c r="AO113" s="119"/>
      <c r="AP113" s="119"/>
      <c r="AQ113" s="119"/>
      <c r="AR113" s="119"/>
      <c r="AS113" s="119"/>
      <c r="AT113" s="119"/>
      <c r="AU113" s="119"/>
      <c r="AV113" s="120"/>
    </row>
    <row r="114" spans="1:48" s="115" customFormat="1" ht="11.1" customHeight="1" x14ac:dyDescent="0.2">
      <c r="A114" s="112"/>
      <c r="B114" s="112"/>
      <c r="C114" s="112"/>
      <c r="D114" s="112"/>
      <c r="E114" s="114">
        <v>78</v>
      </c>
      <c r="F114" s="171"/>
      <c r="G114" s="171"/>
      <c r="H114" s="171"/>
      <c r="I114" s="114"/>
      <c r="K114" s="116">
        <f>calculations!AA133</f>
        <v>67</v>
      </c>
      <c r="L114" s="117">
        <f ca="1">calculations!AF133</f>
        <v>0.76082459072941278</v>
      </c>
      <c r="M114" s="118">
        <f ca="1">calculations!AK133</f>
        <v>1.7713635272603212</v>
      </c>
      <c r="N114" s="112"/>
      <c r="O114" s="119"/>
      <c r="P114" s="119"/>
      <c r="Q114" s="119"/>
      <c r="R114" s="119"/>
      <c r="S114" s="120"/>
      <c r="T114" s="120"/>
      <c r="U114" s="120"/>
      <c r="V114" s="120"/>
      <c r="W114" s="120"/>
      <c r="X114" s="120"/>
      <c r="Y114" s="120"/>
      <c r="Z114" s="120"/>
      <c r="AA114" s="121"/>
      <c r="AB114" s="121"/>
      <c r="AC114" s="121"/>
      <c r="AD114" s="121"/>
      <c r="AE114" s="121"/>
      <c r="AF114" s="120"/>
      <c r="AG114" s="120"/>
      <c r="AH114" s="120"/>
      <c r="AI114" s="120"/>
      <c r="AJ114" s="120"/>
      <c r="AK114" s="122"/>
      <c r="AL114" s="119"/>
      <c r="AM114" s="119"/>
      <c r="AN114" s="119"/>
      <c r="AO114" s="119"/>
      <c r="AP114" s="119"/>
      <c r="AQ114" s="119"/>
      <c r="AR114" s="119"/>
      <c r="AS114" s="119"/>
      <c r="AT114" s="119"/>
      <c r="AU114" s="119"/>
      <c r="AV114" s="120"/>
    </row>
    <row r="115" spans="1:48" s="115" customFormat="1" ht="11.1" customHeight="1" x14ac:dyDescent="0.2">
      <c r="A115" s="112"/>
      <c r="B115" s="112"/>
      <c r="C115" s="112"/>
      <c r="D115" s="112"/>
      <c r="E115" s="114">
        <v>79</v>
      </c>
      <c r="F115" s="171"/>
      <c r="G115" s="171"/>
      <c r="H115" s="171"/>
      <c r="I115" s="114"/>
      <c r="K115" s="116">
        <f>calculations!AA134</f>
        <v>68</v>
      </c>
      <c r="L115" s="117">
        <f ca="1">calculations!AF134</f>
        <v>0.73401460209627489</v>
      </c>
      <c r="M115" s="118">
        <f ca="1">calculations!AK134</f>
        <v>1.7910127604282862</v>
      </c>
      <c r="N115" s="112"/>
      <c r="O115" s="119"/>
      <c r="P115" s="119"/>
      <c r="Q115" s="119"/>
      <c r="R115" s="119"/>
      <c r="S115" s="120"/>
      <c r="T115" s="120"/>
      <c r="U115" s="120"/>
      <c r="V115" s="120"/>
      <c r="W115" s="120"/>
      <c r="X115" s="120"/>
      <c r="Y115" s="120"/>
      <c r="Z115" s="120"/>
      <c r="AA115" s="121"/>
      <c r="AB115" s="121"/>
      <c r="AC115" s="121"/>
      <c r="AD115" s="121"/>
      <c r="AE115" s="121"/>
      <c r="AF115" s="120"/>
      <c r="AG115" s="120"/>
      <c r="AH115" s="120"/>
      <c r="AI115" s="120"/>
      <c r="AJ115" s="120"/>
      <c r="AK115" s="122"/>
      <c r="AL115" s="119"/>
      <c r="AM115" s="119"/>
      <c r="AN115" s="119"/>
      <c r="AO115" s="119"/>
      <c r="AP115" s="119"/>
      <c r="AQ115" s="119"/>
      <c r="AR115" s="119"/>
      <c r="AS115" s="119"/>
      <c r="AT115" s="119"/>
      <c r="AU115" s="119"/>
      <c r="AV115" s="120"/>
    </row>
    <row r="116" spans="1:48" s="115" customFormat="1" ht="11.1" customHeight="1" x14ac:dyDescent="0.2">
      <c r="A116" s="112"/>
      <c r="B116" s="112"/>
      <c r="C116" s="112"/>
      <c r="D116" s="112"/>
      <c r="E116" s="114">
        <v>80</v>
      </c>
      <c r="F116" s="171"/>
      <c r="G116" s="171"/>
      <c r="H116" s="171"/>
      <c r="I116" s="114"/>
      <c r="K116" s="116">
        <f>calculations!AA135</f>
        <v>69</v>
      </c>
      <c r="L116" s="117">
        <f ca="1">calculations!AF135</f>
        <v>0.70669484885227241</v>
      </c>
      <c r="M116" s="118">
        <f ca="1">calculations!AK135</f>
        <v>1.8098593148499917</v>
      </c>
      <c r="N116" s="112"/>
      <c r="O116" s="119"/>
      <c r="P116" s="119"/>
      <c r="Q116" s="119"/>
      <c r="R116" s="119"/>
      <c r="S116" s="120"/>
      <c r="T116" s="120"/>
      <c r="U116" s="120"/>
      <c r="V116" s="120"/>
      <c r="W116" s="120"/>
      <c r="X116" s="120"/>
      <c r="Y116" s="120"/>
      <c r="Z116" s="120"/>
      <c r="AA116" s="121"/>
      <c r="AB116" s="121"/>
      <c r="AC116" s="121"/>
      <c r="AD116" s="121"/>
      <c r="AE116" s="121"/>
      <c r="AF116" s="120"/>
      <c r="AG116" s="120"/>
      <c r="AH116" s="120"/>
      <c r="AI116" s="120"/>
      <c r="AJ116" s="120"/>
      <c r="AK116" s="122"/>
      <c r="AL116" s="119"/>
      <c r="AM116" s="119"/>
      <c r="AN116" s="119"/>
      <c r="AO116" s="119"/>
      <c r="AP116" s="119"/>
      <c r="AQ116" s="119"/>
      <c r="AR116" s="119"/>
      <c r="AS116" s="119"/>
      <c r="AT116" s="119"/>
      <c r="AU116" s="119"/>
      <c r="AV116" s="120"/>
    </row>
    <row r="117" spans="1:48" s="115" customFormat="1" ht="11.1" customHeight="1" x14ac:dyDescent="0.2">
      <c r="A117" s="112"/>
      <c r="B117" s="112"/>
      <c r="C117" s="112"/>
      <c r="D117" s="112"/>
      <c r="E117" s="114">
        <v>81</v>
      </c>
      <c r="F117" s="171"/>
      <c r="G117" s="171"/>
      <c r="H117" s="171"/>
      <c r="I117" s="114"/>
      <c r="K117" s="116">
        <f>calculations!AA136</f>
        <v>70</v>
      </c>
      <c r="L117" s="117">
        <f ca="1">calculations!AF136</f>
        <v>0.67889647424263244</v>
      </c>
      <c r="M117" s="118">
        <f ca="1">calculations!AK136</f>
        <v>1.8278937007177234</v>
      </c>
      <c r="N117" s="112"/>
      <c r="O117" s="119"/>
      <c r="P117" s="119"/>
      <c r="Q117" s="119"/>
      <c r="R117" s="119"/>
      <c r="S117" s="120"/>
      <c r="T117" s="120"/>
      <c r="U117" s="120"/>
      <c r="V117" s="120"/>
      <c r="W117" s="120"/>
      <c r="X117" s="120"/>
      <c r="Y117" s="120"/>
      <c r="Z117" s="120"/>
      <c r="AA117" s="121"/>
      <c r="AB117" s="121"/>
      <c r="AC117" s="121"/>
      <c r="AD117" s="121"/>
      <c r="AE117" s="121"/>
      <c r="AF117" s="120"/>
      <c r="AG117" s="120"/>
      <c r="AH117" s="120"/>
      <c r="AI117" s="120"/>
      <c r="AJ117" s="120"/>
      <c r="AK117" s="122"/>
      <c r="AL117" s="119"/>
      <c r="AM117" s="119"/>
      <c r="AN117" s="119"/>
      <c r="AO117" s="119"/>
      <c r="AP117" s="119"/>
      <c r="AQ117" s="119"/>
      <c r="AR117" s="119"/>
      <c r="AS117" s="119"/>
      <c r="AT117" s="119"/>
      <c r="AU117" s="119"/>
      <c r="AV117" s="120"/>
    </row>
    <row r="118" spans="1:48" s="115" customFormat="1" ht="11.1" customHeight="1" x14ac:dyDescent="0.2">
      <c r="A118" s="112"/>
      <c r="B118" s="112"/>
      <c r="C118" s="112"/>
      <c r="D118" s="112"/>
      <c r="E118" s="114">
        <v>82</v>
      </c>
      <c r="F118" s="171"/>
      <c r="G118" s="171"/>
      <c r="H118" s="171"/>
      <c r="I118" s="114"/>
      <c r="K118" s="116">
        <f>calculations!AA137</f>
        <v>71</v>
      </c>
      <c r="L118" s="117">
        <f ca="1">calculations!AF137</f>
        <v>0.65064997616892783</v>
      </c>
      <c r="M118" s="118">
        <f ca="1">calculations!AK137</f>
        <v>1.8451068371750905</v>
      </c>
      <c r="N118" s="112"/>
      <c r="O118" s="119"/>
      <c r="P118" s="119"/>
      <c r="Q118" s="119"/>
      <c r="R118" s="119"/>
      <c r="S118" s="120"/>
      <c r="T118" s="120"/>
      <c r="U118" s="120"/>
      <c r="V118" s="120"/>
      <c r="W118" s="120"/>
      <c r="X118" s="120"/>
      <c r="Y118" s="120"/>
      <c r="Z118" s="120"/>
      <c r="AA118" s="121"/>
      <c r="AB118" s="121"/>
      <c r="AC118" s="121"/>
      <c r="AD118" s="121"/>
      <c r="AE118" s="121"/>
      <c r="AF118" s="120"/>
      <c r="AG118" s="120"/>
      <c r="AH118" s="120"/>
      <c r="AI118" s="120"/>
      <c r="AJ118" s="120"/>
      <c r="AK118" s="122"/>
      <c r="AL118" s="119"/>
      <c r="AM118" s="119"/>
      <c r="AN118" s="119"/>
      <c r="AO118" s="119"/>
      <c r="AP118" s="119"/>
      <c r="AQ118" s="119"/>
      <c r="AR118" s="119"/>
      <c r="AS118" s="119"/>
      <c r="AT118" s="119"/>
      <c r="AU118" s="119"/>
      <c r="AV118" s="120"/>
    </row>
    <row r="119" spans="1:48" s="115" customFormat="1" ht="11.1" customHeight="1" x14ac:dyDescent="0.2">
      <c r="A119" s="112"/>
      <c r="B119" s="112"/>
      <c r="C119" s="112"/>
      <c r="D119" s="112"/>
      <c r="E119" s="114">
        <v>83</v>
      </c>
      <c r="F119" s="171"/>
      <c r="G119" s="171"/>
      <c r="H119" s="171"/>
      <c r="I119" s="114"/>
      <c r="K119" s="116">
        <f>calculations!AA138</f>
        <v>72</v>
      </c>
      <c r="L119" s="117">
        <f ca="1">calculations!AF138</f>
        <v>0.62198519212452108</v>
      </c>
      <c r="M119" s="118">
        <f ca="1">calculations!AK138</f>
        <v>1.8614900568895139</v>
      </c>
      <c r="N119" s="112"/>
      <c r="O119" s="119"/>
      <c r="P119" s="119"/>
      <c r="Q119" s="119"/>
      <c r="R119" s="119"/>
      <c r="S119" s="120"/>
      <c r="T119" s="120"/>
      <c r="U119" s="120"/>
      <c r="V119" s="120"/>
      <c r="W119" s="120"/>
      <c r="X119" s="120"/>
      <c r="Y119" s="120"/>
      <c r="Z119" s="120"/>
      <c r="AA119" s="121"/>
      <c r="AB119" s="121"/>
      <c r="AC119" s="121"/>
      <c r="AD119" s="121"/>
      <c r="AE119" s="121"/>
      <c r="AF119" s="120"/>
      <c r="AG119" s="120"/>
      <c r="AH119" s="120"/>
      <c r="AI119" s="120"/>
      <c r="AJ119" s="120"/>
      <c r="AK119" s="122"/>
      <c r="AL119" s="119"/>
      <c r="AM119" s="119"/>
      <c r="AN119" s="119"/>
      <c r="AO119" s="119"/>
      <c r="AP119" s="119"/>
      <c r="AQ119" s="119"/>
      <c r="AR119" s="119"/>
      <c r="AS119" s="119"/>
      <c r="AT119" s="119"/>
      <c r="AU119" s="119"/>
      <c r="AV119" s="120"/>
    </row>
    <row r="120" spans="1:48" s="115" customFormat="1" ht="11.1" customHeight="1" x14ac:dyDescent="0.2">
      <c r="A120" s="112"/>
      <c r="B120" s="112"/>
      <c r="C120" s="112"/>
      <c r="D120" s="112"/>
      <c r="E120" s="114">
        <v>84</v>
      </c>
      <c r="F120" s="171"/>
      <c r="G120" s="171"/>
      <c r="H120" s="171"/>
      <c r="I120" s="114"/>
      <c r="K120" s="116">
        <f>calculations!AA139</f>
        <v>73</v>
      </c>
      <c r="L120" s="117">
        <f ca="1">calculations!AF139</f>
        <v>0.59293128305080445</v>
      </c>
      <c r="M120" s="118">
        <f ca="1">calculations!AK139</f>
        <v>1.8770351104164871</v>
      </c>
      <c r="N120" s="112"/>
      <c r="O120" s="119"/>
      <c r="P120" s="119"/>
      <c r="Q120" s="119"/>
      <c r="R120" s="119"/>
      <c r="S120" s="120"/>
      <c r="T120" s="120"/>
      <c r="U120" s="120"/>
      <c r="V120" s="120"/>
      <c r="W120" s="120"/>
      <c r="X120" s="120"/>
      <c r="Y120" s="120"/>
      <c r="Z120" s="120"/>
      <c r="AA120" s="121"/>
      <c r="AB120" s="121"/>
      <c r="AC120" s="121"/>
      <c r="AD120" s="121"/>
      <c r="AE120" s="121"/>
      <c r="AF120" s="120"/>
      <c r="AG120" s="120"/>
      <c r="AH120" s="120"/>
      <c r="AI120" s="120"/>
      <c r="AJ120" s="120"/>
      <c r="AK120" s="122"/>
      <c r="AL120" s="119"/>
      <c r="AM120" s="119"/>
      <c r="AN120" s="119"/>
      <c r="AO120" s="119"/>
      <c r="AP120" s="119"/>
      <c r="AQ120" s="119"/>
      <c r="AR120" s="119"/>
      <c r="AS120" s="119"/>
      <c r="AT120" s="119"/>
      <c r="AU120" s="119"/>
      <c r="AV120" s="120"/>
    </row>
    <row r="121" spans="1:48" s="115" customFormat="1" ht="11.1" customHeight="1" x14ac:dyDescent="0.2">
      <c r="A121" s="112"/>
      <c r="B121" s="112"/>
      <c r="C121" s="112"/>
      <c r="D121" s="112"/>
      <c r="E121" s="114">
        <v>85</v>
      </c>
      <c r="F121" s="171"/>
      <c r="G121" s="171"/>
      <c r="H121" s="171"/>
      <c r="I121" s="114"/>
      <c r="K121" s="116">
        <f>calculations!AA140</f>
        <v>74</v>
      </c>
      <c r="L121" s="117">
        <f ca="1">calculations!AF140</f>
        <v>0.56351671597953534</v>
      </c>
      <c r="M121" s="118">
        <f ca="1">calculations!AK140</f>
        <v>1.8917341703534198</v>
      </c>
      <c r="N121" s="112"/>
      <c r="O121" s="119"/>
      <c r="P121" s="119"/>
      <c r="Q121" s="119"/>
      <c r="R121" s="119"/>
      <c r="S121" s="120"/>
      <c r="T121" s="120"/>
      <c r="U121" s="120"/>
      <c r="V121" s="120"/>
      <c r="W121" s="120"/>
      <c r="X121" s="120"/>
      <c r="Y121" s="120"/>
      <c r="Z121" s="120"/>
      <c r="AA121" s="121"/>
      <c r="AB121" s="121"/>
      <c r="AC121" s="121"/>
      <c r="AD121" s="121"/>
      <c r="AE121" s="121"/>
      <c r="AF121" s="120"/>
      <c r="AG121" s="120"/>
      <c r="AH121" s="120"/>
      <c r="AI121" s="120"/>
      <c r="AJ121" s="120"/>
      <c r="AK121" s="122"/>
      <c r="AL121" s="119"/>
      <c r="AM121" s="119"/>
      <c r="AN121" s="119"/>
      <c r="AO121" s="119"/>
      <c r="AP121" s="119"/>
      <c r="AQ121" s="119"/>
      <c r="AR121" s="119"/>
      <c r="AS121" s="119"/>
      <c r="AT121" s="119"/>
      <c r="AU121" s="119"/>
      <c r="AV121" s="120"/>
    </row>
    <row r="122" spans="1:48" s="115" customFormat="1" ht="11.1" customHeight="1" x14ac:dyDescent="0.2">
      <c r="A122" s="112"/>
      <c r="B122" s="112"/>
      <c r="C122" s="112"/>
      <c r="D122" s="112"/>
      <c r="E122" s="114">
        <v>86</v>
      </c>
      <c r="F122" s="171"/>
      <c r="G122" s="171"/>
      <c r="H122" s="171"/>
      <c r="I122" s="114"/>
      <c r="K122" s="116">
        <f>calculations!AA141</f>
        <v>75</v>
      </c>
      <c r="L122" s="117">
        <f ca="1">calculations!AF141</f>
        <v>0.53376924530183911</v>
      </c>
      <c r="M122" s="118">
        <f ca="1">calculations!AK141</f>
        <v>1.9055798352809723</v>
      </c>
      <c r="N122" s="112"/>
      <c r="O122" s="119"/>
      <c r="P122" s="119"/>
      <c r="Q122" s="119"/>
      <c r="R122" s="119"/>
      <c r="S122" s="120"/>
      <c r="T122" s="120"/>
      <c r="U122" s="120"/>
      <c r="V122" s="120"/>
      <c r="W122" s="120"/>
      <c r="X122" s="120"/>
      <c r="Y122" s="120"/>
      <c r="Z122" s="120"/>
      <c r="AA122" s="121"/>
      <c r="AB122" s="121"/>
      <c r="AC122" s="121"/>
      <c r="AD122" s="121"/>
      <c r="AE122" s="121"/>
      <c r="AF122" s="120"/>
      <c r="AG122" s="120"/>
      <c r="AH122" s="120"/>
      <c r="AI122" s="120"/>
      <c r="AJ122" s="120"/>
      <c r="AK122" s="122"/>
      <c r="AL122" s="119"/>
      <c r="AM122" s="119"/>
      <c r="AN122" s="119"/>
      <c r="AO122" s="119"/>
      <c r="AP122" s="119"/>
      <c r="AQ122" s="119"/>
      <c r="AR122" s="119"/>
      <c r="AS122" s="119"/>
      <c r="AT122" s="119"/>
      <c r="AU122" s="119"/>
      <c r="AV122" s="120"/>
    </row>
    <row r="123" spans="1:48" s="115" customFormat="1" ht="11.1" customHeight="1" x14ac:dyDescent="0.2">
      <c r="A123" s="112"/>
      <c r="B123" s="112"/>
      <c r="C123" s="112"/>
      <c r="D123" s="112"/>
      <c r="E123" s="114">
        <v>87</v>
      </c>
      <c r="F123" s="171"/>
      <c r="G123" s="171"/>
      <c r="H123" s="171"/>
      <c r="I123" s="114"/>
      <c r="K123" s="116">
        <f>calculations!AA142</f>
        <v>76</v>
      </c>
      <c r="L123" s="117">
        <f ca="1">calculations!AF142</f>
        <v>0.50371589247354531</v>
      </c>
      <c r="M123" s="118">
        <f ca="1">calculations!AK142</f>
        <v>1.9185651334898908</v>
      </c>
      <c r="N123" s="112"/>
      <c r="O123" s="119"/>
      <c r="P123" s="119"/>
      <c r="Q123" s="119"/>
      <c r="R123" s="119"/>
      <c r="S123" s="120"/>
      <c r="T123" s="120"/>
      <c r="U123" s="120"/>
      <c r="V123" s="120"/>
      <c r="W123" s="120"/>
      <c r="X123" s="120"/>
      <c r="Y123" s="120"/>
      <c r="Z123" s="120"/>
      <c r="AA123" s="121"/>
      <c r="AB123" s="121"/>
      <c r="AC123" s="121"/>
      <c r="AD123" s="121"/>
      <c r="AE123" s="121"/>
      <c r="AF123" s="120"/>
      <c r="AG123" s="120"/>
      <c r="AH123" s="120"/>
      <c r="AI123" s="120"/>
      <c r="AJ123" s="120"/>
      <c r="AK123" s="122"/>
      <c r="AL123" s="119"/>
      <c r="AM123" s="119"/>
      <c r="AN123" s="119"/>
      <c r="AO123" s="119"/>
      <c r="AP123" s="119"/>
      <c r="AQ123" s="119"/>
      <c r="AR123" s="119"/>
      <c r="AS123" s="119"/>
      <c r="AT123" s="119"/>
      <c r="AU123" s="119"/>
      <c r="AV123" s="120"/>
    </row>
    <row r="124" spans="1:48" s="115" customFormat="1" ht="11.1" customHeight="1" x14ac:dyDescent="0.2">
      <c r="A124" s="112"/>
      <c r="B124" s="112"/>
      <c r="C124" s="112"/>
      <c r="D124" s="112"/>
      <c r="E124" s="114">
        <v>88</v>
      </c>
      <c r="F124" s="171"/>
      <c r="G124" s="171"/>
      <c r="H124" s="171"/>
      <c r="I124" s="114"/>
      <c r="K124" s="116">
        <f>calculations!AA143</f>
        <v>77</v>
      </c>
      <c r="L124" s="117">
        <f ca="1">calculations!AF143</f>
        <v>0.47338292392748305</v>
      </c>
      <c r="M124" s="118">
        <f ca="1">calculations!AK143</f>
        <v>1.9306835264914757</v>
      </c>
      <c r="N124" s="112"/>
      <c r="O124" s="119"/>
      <c r="P124" s="119"/>
      <c r="Q124" s="119"/>
      <c r="R124" s="119"/>
      <c r="S124" s="120"/>
      <c r="T124" s="120"/>
      <c r="U124" s="120"/>
      <c r="V124" s="120"/>
      <c r="W124" s="120"/>
      <c r="X124" s="120"/>
      <c r="Y124" s="120"/>
      <c r="Z124" s="120"/>
      <c r="AA124" s="121"/>
      <c r="AB124" s="121"/>
      <c r="AC124" s="121"/>
      <c r="AD124" s="121"/>
      <c r="AE124" s="121"/>
      <c r="AF124" s="120"/>
      <c r="AG124" s="120"/>
      <c r="AH124" s="120"/>
      <c r="AI124" s="120"/>
      <c r="AJ124" s="120"/>
      <c r="AK124" s="122"/>
      <c r="AL124" s="119"/>
      <c r="AM124" s="119"/>
      <c r="AN124" s="119"/>
      <c r="AO124" s="119"/>
      <c r="AP124" s="119"/>
      <c r="AQ124" s="119"/>
      <c r="AR124" s="119"/>
      <c r="AS124" s="119"/>
      <c r="AT124" s="119"/>
      <c r="AU124" s="119"/>
      <c r="AV124" s="120"/>
    </row>
    <row r="125" spans="1:48" s="115" customFormat="1" ht="11.1" customHeight="1" x14ac:dyDescent="0.2">
      <c r="A125" s="112"/>
      <c r="B125" s="112"/>
      <c r="C125" s="112"/>
      <c r="D125" s="112"/>
      <c r="E125" s="114">
        <v>89</v>
      </c>
      <c r="F125" s="171"/>
      <c r="G125" s="171"/>
      <c r="H125" s="171"/>
      <c r="I125" s="114"/>
      <c r="K125" s="116">
        <f>calculations!AA144</f>
        <v>78</v>
      </c>
      <c r="L125" s="117">
        <f ca="1">calculations!AF144</f>
        <v>0.44279582691337016</v>
      </c>
      <c r="M125" s="118">
        <f ca="1">calculations!AK144</f>
        <v>1.9419289123099051</v>
      </c>
      <c r="N125" s="112"/>
      <c r="O125" s="119"/>
      <c r="P125" s="119"/>
      <c r="Q125" s="119"/>
      <c r="R125" s="119"/>
      <c r="S125" s="120"/>
      <c r="T125" s="120"/>
      <c r="U125" s="120"/>
      <c r="V125" s="120"/>
      <c r="W125" s="120"/>
      <c r="X125" s="120"/>
      <c r="Y125" s="120"/>
      <c r="Z125" s="120"/>
      <c r="AA125" s="121"/>
      <c r="AB125" s="121"/>
      <c r="AC125" s="121"/>
      <c r="AD125" s="121"/>
      <c r="AE125" s="121"/>
      <c r="AF125" s="120"/>
      <c r="AG125" s="120"/>
      <c r="AH125" s="120"/>
      <c r="AI125" s="120"/>
      <c r="AJ125" s="120"/>
      <c r="AK125" s="122"/>
      <c r="AL125" s="119"/>
      <c r="AM125" s="119"/>
      <c r="AN125" s="119"/>
      <c r="AO125" s="119"/>
      <c r="AP125" s="119"/>
      <c r="AQ125" s="119"/>
      <c r="AR125" s="119"/>
      <c r="AS125" s="119"/>
      <c r="AT125" s="119"/>
      <c r="AU125" s="119"/>
      <c r="AV125" s="120"/>
    </row>
    <row r="126" spans="1:48" s="115" customFormat="1" ht="11.1" customHeight="1" x14ac:dyDescent="0.2">
      <c r="A126" s="112"/>
      <c r="B126" s="112"/>
      <c r="C126" s="112"/>
      <c r="D126" s="112"/>
      <c r="E126" s="114">
        <v>90</v>
      </c>
      <c r="F126" s="171"/>
      <c r="G126" s="171"/>
      <c r="H126" s="171"/>
      <c r="I126" s="114"/>
      <c r="K126" s="116">
        <f>calculations!AA145</f>
        <v>79</v>
      </c>
      <c r="L126" s="117">
        <f ca="1">calculations!AF145</f>
        <v>0.41197928292100922</v>
      </c>
      <c r="M126" s="118">
        <f ca="1">calculations!AK145</f>
        <v>1.9522956285547648</v>
      </c>
      <c r="N126" s="112"/>
      <c r="O126" s="119"/>
      <c r="P126" s="119"/>
      <c r="Q126" s="119"/>
      <c r="R126" s="119"/>
      <c r="S126" s="120"/>
      <c r="T126" s="120"/>
      <c r="U126" s="120"/>
      <c r="V126" s="120"/>
      <c r="W126" s="120"/>
      <c r="X126" s="120"/>
      <c r="Y126" s="120"/>
      <c r="Z126" s="120"/>
      <c r="AA126" s="121"/>
      <c r="AB126" s="121"/>
      <c r="AC126" s="121"/>
      <c r="AD126" s="121"/>
      <c r="AE126" s="121"/>
      <c r="AF126" s="120"/>
      <c r="AG126" s="120"/>
      <c r="AH126" s="120"/>
      <c r="AI126" s="120"/>
      <c r="AJ126" s="120"/>
      <c r="AK126" s="122"/>
      <c r="AL126" s="119"/>
      <c r="AM126" s="119"/>
      <c r="AN126" s="119"/>
      <c r="AO126" s="119"/>
      <c r="AP126" s="119"/>
      <c r="AQ126" s="119"/>
      <c r="AR126" s="119"/>
      <c r="AS126" s="119"/>
      <c r="AT126" s="119"/>
      <c r="AU126" s="119"/>
      <c r="AV126" s="120"/>
    </row>
    <row r="127" spans="1:48" s="115" customFormat="1" ht="11.1" customHeight="1" x14ac:dyDescent="0.2">
      <c r="A127" s="112"/>
      <c r="B127" s="112"/>
      <c r="C127" s="112"/>
      <c r="D127" s="112"/>
      <c r="E127" s="114">
        <v>91</v>
      </c>
      <c r="F127" s="171"/>
      <c r="G127" s="171"/>
      <c r="H127" s="171"/>
      <c r="I127" s="114"/>
      <c r="K127" s="116">
        <f>calculations!AA146</f>
        <v>80</v>
      </c>
      <c r="L127" s="117">
        <f ca="1">calculations!AF146</f>
        <v>0.38095713825679622</v>
      </c>
      <c r="M127" s="118">
        <f ca="1">calculations!AK146</f>
        <v>1.9617784552722322</v>
      </c>
      <c r="N127" s="112"/>
      <c r="O127" s="119"/>
      <c r="P127" s="119"/>
      <c r="Q127" s="119"/>
      <c r="R127" s="119"/>
      <c r="S127" s="120"/>
      <c r="T127" s="120"/>
      <c r="U127" s="120"/>
      <c r="V127" s="120"/>
      <c r="W127" s="120"/>
      <c r="X127" s="120"/>
      <c r="Y127" s="120"/>
      <c r="Z127" s="120"/>
      <c r="AA127" s="121"/>
      <c r="AB127" s="121"/>
      <c r="AC127" s="121"/>
      <c r="AD127" s="121"/>
      <c r="AE127" s="121"/>
      <c r="AF127" s="120"/>
      <c r="AG127" s="120"/>
      <c r="AH127" s="120"/>
      <c r="AI127" s="120"/>
      <c r="AJ127" s="120"/>
      <c r="AK127" s="122"/>
      <c r="AL127" s="119"/>
      <c r="AM127" s="119"/>
      <c r="AN127" s="119"/>
      <c r="AO127" s="119"/>
      <c r="AP127" s="119"/>
      <c r="AQ127" s="119"/>
      <c r="AR127" s="119"/>
      <c r="AS127" s="119"/>
      <c r="AT127" s="119"/>
      <c r="AU127" s="119"/>
      <c r="AV127" s="120"/>
    </row>
    <row r="128" spans="1:48" s="115" customFormat="1" ht="11.1" customHeight="1" x14ac:dyDescent="0.2">
      <c r="A128" s="112"/>
      <c r="B128" s="112"/>
      <c r="C128" s="112"/>
      <c r="D128" s="112"/>
      <c r="E128" s="114">
        <v>92</v>
      </c>
      <c r="F128" s="171"/>
      <c r="G128" s="171"/>
      <c r="H128" s="171"/>
      <c r="I128" s="114"/>
      <c r="K128" s="116">
        <f>calculations!AA147</f>
        <v>81</v>
      </c>
      <c r="L128" s="117">
        <f ca="1">calculations!AF147</f>
        <v>0.34975237122828412</v>
      </c>
      <c r="M128" s="118">
        <f ca="1">calculations!AK147</f>
        <v>1.9703726175734795</v>
      </c>
      <c r="N128" s="112"/>
      <c r="O128" s="119"/>
      <c r="P128" s="119"/>
      <c r="Q128" s="119"/>
      <c r="R128" s="119"/>
      <c r="S128" s="120"/>
      <c r="T128" s="120"/>
      <c r="U128" s="120"/>
      <c r="V128" s="120"/>
      <c r="W128" s="120"/>
      <c r="X128" s="120"/>
      <c r="Y128" s="120"/>
      <c r="Z128" s="120"/>
      <c r="AA128" s="121"/>
      <c r="AB128" s="121"/>
      <c r="AC128" s="121"/>
      <c r="AD128" s="121"/>
      <c r="AE128" s="121"/>
      <c r="AF128" s="120"/>
      <c r="AG128" s="120"/>
      <c r="AH128" s="120"/>
      <c r="AI128" s="120"/>
      <c r="AJ128" s="120"/>
      <c r="AK128" s="122"/>
      <c r="AL128" s="119"/>
      <c r="AM128" s="119"/>
      <c r="AN128" s="119"/>
      <c r="AO128" s="119"/>
      <c r="AP128" s="119"/>
      <c r="AQ128" s="119"/>
      <c r="AR128" s="119"/>
      <c r="AS128" s="119"/>
      <c r="AT128" s="119"/>
      <c r="AU128" s="119"/>
      <c r="AV128" s="120"/>
    </row>
    <row r="129" spans="1:48" s="115" customFormat="1" ht="11.1" customHeight="1" x14ac:dyDescent="0.2">
      <c r="A129" s="112"/>
      <c r="B129" s="112"/>
      <c r="C129" s="112"/>
      <c r="D129" s="112"/>
      <c r="E129" s="114">
        <v>93</v>
      </c>
      <c r="F129" s="171"/>
      <c r="G129" s="171"/>
      <c r="H129" s="171"/>
      <c r="I129" s="114"/>
      <c r="K129" s="116">
        <f>calculations!AA148</f>
        <v>82</v>
      </c>
      <c r="L129" s="117">
        <f ca="1">calculations!AF148</f>
        <v>0.31838705523322847</v>
      </c>
      <c r="M129" s="118">
        <f ca="1">calculations!AK148</f>
        <v>1.9780737880389754</v>
      </c>
      <c r="N129" s="112"/>
      <c r="O129" s="119"/>
      <c r="P129" s="119"/>
      <c r="Q129" s="119"/>
      <c r="R129" s="119"/>
      <c r="S129" s="120"/>
      <c r="T129" s="120"/>
      <c r="U129" s="120"/>
      <c r="V129" s="120"/>
      <c r="W129" s="120"/>
      <c r="X129" s="120"/>
      <c r="Y129" s="120"/>
      <c r="Z129" s="120"/>
      <c r="AA129" s="121"/>
      <c r="AB129" s="121"/>
      <c r="AC129" s="121"/>
      <c r="AD129" s="121"/>
      <c r="AE129" s="121"/>
      <c r="AF129" s="120"/>
      <c r="AG129" s="120"/>
      <c r="AH129" s="120"/>
      <c r="AI129" s="120"/>
      <c r="AJ129" s="120"/>
      <c r="AK129" s="122"/>
      <c r="AL129" s="119"/>
      <c r="AM129" s="119"/>
      <c r="AN129" s="119"/>
      <c r="AO129" s="119"/>
      <c r="AP129" s="119"/>
      <c r="AQ129" s="119"/>
      <c r="AR129" s="119"/>
      <c r="AS129" s="119"/>
      <c r="AT129" s="119"/>
      <c r="AU129" s="119"/>
      <c r="AV129" s="120"/>
    </row>
    <row r="130" spans="1:48" s="115" customFormat="1" ht="11.1" customHeight="1" x14ac:dyDescent="0.2">
      <c r="A130" s="112"/>
      <c r="B130" s="112"/>
      <c r="C130" s="112"/>
      <c r="D130" s="112"/>
      <c r="E130" s="114">
        <v>94</v>
      </c>
      <c r="F130" s="171"/>
      <c r="G130" s="171"/>
      <c r="H130" s="171"/>
      <c r="I130" s="114"/>
      <c r="K130" s="116">
        <f>calculations!AA149</f>
        <v>83</v>
      </c>
      <c r="L130" s="117">
        <f ca="1">calculations!AF149</f>
        <v>0.28688231682668475</v>
      </c>
      <c r="M130" s="118">
        <f ca="1">calculations!AK149</f>
        <v>1.9848780888974695</v>
      </c>
      <c r="N130" s="112"/>
      <c r="O130" s="119"/>
      <c r="P130" s="119"/>
      <c r="Q130" s="119"/>
      <c r="R130" s="119"/>
      <c r="S130" s="120"/>
      <c r="T130" s="120"/>
      <c r="U130" s="120"/>
      <c r="V130" s="120"/>
      <c r="W130" s="120"/>
      <c r="X130" s="120"/>
      <c r="Y130" s="120"/>
      <c r="Z130" s="120"/>
      <c r="AA130" s="121"/>
      <c r="AB130" s="121"/>
      <c r="AC130" s="121"/>
      <c r="AD130" s="121"/>
      <c r="AE130" s="121"/>
      <c r="AF130" s="120"/>
      <c r="AG130" s="120"/>
      <c r="AH130" s="120"/>
      <c r="AI130" s="120"/>
      <c r="AJ130" s="120"/>
      <c r="AK130" s="122"/>
      <c r="AL130" s="119"/>
      <c r="AM130" s="119"/>
      <c r="AN130" s="119"/>
      <c r="AO130" s="119"/>
      <c r="AP130" s="119"/>
      <c r="AQ130" s="119"/>
      <c r="AR130" s="119"/>
      <c r="AS130" s="119"/>
      <c r="AT130" s="119"/>
      <c r="AU130" s="119"/>
      <c r="AV130" s="120"/>
    </row>
    <row r="131" spans="1:48" s="115" customFormat="1" ht="11.1" customHeight="1" x14ac:dyDescent="0.2">
      <c r="A131" s="112"/>
      <c r="B131" s="112"/>
      <c r="C131" s="112"/>
      <c r="D131" s="112"/>
      <c r="E131" s="114">
        <v>95</v>
      </c>
      <c r="F131" s="171"/>
      <c r="G131" s="171"/>
      <c r="H131" s="171"/>
      <c r="I131" s="114"/>
      <c r="K131" s="116">
        <f>calculations!AA150</f>
        <v>84</v>
      </c>
      <c r="L131" s="117">
        <f ca="1">calculations!AF150</f>
        <v>0.25525828751688462</v>
      </c>
      <c r="M131" s="118">
        <f ca="1">calculations!AK150</f>
        <v>1.9907820939785679</v>
      </c>
      <c r="N131" s="112"/>
      <c r="O131" s="119"/>
      <c r="P131" s="119"/>
      <c r="Q131" s="119"/>
      <c r="R131" s="119"/>
      <c r="S131" s="120"/>
      <c r="T131" s="120"/>
      <c r="U131" s="120"/>
      <c r="V131" s="120"/>
      <c r="W131" s="120"/>
      <c r="X131" s="120"/>
      <c r="Y131" s="120"/>
      <c r="Z131" s="120"/>
      <c r="AA131" s="121"/>
      <c r="AB131" s="121"/>
      <c r="AC131" s="121"/>
      <c r="AD131" s="121"/>
      <c r="AE131" s="121"/>
      <c r="AF131" s="120"/>
      <c r="AG131" s="120"/>
      <c r="AH131" s="120"/>
      <c r="AI131" s="120"/>
      <c r="AJ131" s="120"/>
      <c r="AK131" s="122"/>
      <c r="AL131" s="119"/>
      <c r="AM131" s="119"/>
      <c r="AN131" s="119"/>
      <c r="AO131" s="119"/>
      <c r="AP131" s="119"/>
      <c r="AQ131" s="119"/>
      <c r="AR131" s="119"/>
      <c r="AS131" s="119"/>
      <c r="AT131" s="119"/>
      <c r="AU131" s="119"/>
      <c r="AV131" s="120"/>
    </row>
    <row r="132" spans="1:48" s="115" customFormat="1" ht="11.1" customHeight="1" x14ac:dyDescent="0.2">
      <c r="A132" s="112"/>
      <c r="B132" s="112"/>
      <c r="C132" s="112"/>
      <c r="D132" s="112"/>
      <c r="E132" s="114">
        <v>96</v>
      </c>
      <c r="F132" s="171"/>
      <c r="G132" s="171"/>
      <c r="H132" s="171"/>
      <c r="I132" s="114"/>
      <c r="K132" s="116">
        <f>calculations!AA151</f>
        <v>85</v>
      </c>
      <c r="L132" s="117">
        <f ca="1">calculations!AF151</f>
        <v>0.22353404755668371</v>
      </c>
      <c r="M132" s="118">
        <f ca="1">calculations!AK151</f>
        <v>1.9957828304379142</v>
      </c>
      <c r="N132" s="112"/>
      <c r="O132" s="119"/>
      <c r="P132" s="119"/>
      <c r="Q132" s="119"/>
      <c r="R132" s="119"/>
      <c r="S132" s="120"/>
      <c r="T132" s="120"/>
      <c r="U132" s="120"/>
      <c r="V132" s="120"/>
      <c r="W132" s="120"/>
      <c r="X132" s="120"/>
      <c r="Y132" s="120"/>
      <c r="Z132" s="120"/>
      <c r="AA132" s="121"/>
      <c r="AB132" s="121"/>
      <c r="AC132" s="121"/>
      <c r="AD132" s="121"/>
      <c r="AE132" s="121"/>
      <c r="AF132" s="120"/>
      <c r="AG132" s="120"/>
      <c r="AH132" s="120"/>
      <c r="AI132" s="120"/>
      <c r="AJ132" s="120"/>
      <c r="AK132" s="122"/>
      <c r="AL132" s="119"/>
      <c r="AM132" s="119"/>
      <c r="AN132" s="119"/>
      <c r="AO132" s="119"/>
      <c r="AP132" s="119"/>
      <c r="AQ132" s="119"/>
      <c r="AR132" s="119"/>
      <c r="AS132" s="119"/>
      <c r="AT132" s="119"/>
      <c r="AU132" s="119"/>
      <c r="AV132" s="120"/>
    </row>
    <row r="133" spans="1:48" s="115" customFormat="1" ht="11.1" customHeight="1" x14ac:dyDescent="0.2">
      <c r="A133" s="112"/>
      <c r="B133" s="112"/>
      <c r="C133" s="112"/>
      <c r="D133" s="112"/>
      <c r="E133" s="114">
        <v>97</v>
      </c>
      <c r="F133" s="171"/>
      <c r="G133" s="171"/>
      <c r="H133" s="171"/>
      <c r="I133" s="114"/>
      <c r="K133" s="116">
        <f>calculations!AA152</f>
        <v>86</v>
      </c>
      <c r="L133" s="117">
        <f ca="1">calculations!AF152</f>
        <v>0.19172755924134</v>
      </c>
      <c r="M133" s="118">
        <f ca="1">calculations!AK152</f>
        <v>1.999877780254103</v>
      </c>
      <c r="N133" s="112"/>
      <c r="O133" s="119"/>
      <c r="P133" s="119"/>
      <c r="Q133" s="119"/>
      <c r="R133" s="119"/>
      <c r="S133" s="120"/>
      <c r="T133" s="120"/>
      <c r="U133" s="120"/>
      <c r="V133" s="120"/>
      <c r="W133" s="120"/>
      <c r="X133" s="120"/>
      <c r="Y133" s="120"/>
      <c r="Z133" s="120"/>
      <c r="AA133" s="121"/>
      <c r="AB133" s="121"/>
      <c r="AC133" s="121"/>
      <c r="AD133" s="121"/>
      <c r="AE133" s="121"/>
      <c r="AF133" s="120"/>
      <c r="AG133" s="120"/>
      <c r="AH133" s="120"/>
      <c r="AI133" s="120"/>
      <c r="AJ133" s="120"/>
      <c r="AK133" s="122"/>
      <c r="AL133" s="119"/>
      <c r="AM133" s="119"/>
      <c r="AN133" s="119"/>
      <c r="AO133" s="119"/>
      <c r="AP133" s="119"/>
      <c r="AQ133" s="119"/>
      <c r="AR133" s="119"/>
      <c r="AS133" s="119"/>
      <c r="AT133" s="119"/>
      <c r="AU133" s="119"/>
      <c r="AV133" s="120"/>
    </row>
    <row r="134" spans="1:48" s="115" customFormat="1" ht="11.1" customHeight="1" x14ac:dyDescent="0.2">
      <c r="A134" s="112"/>
      <c r="B134" s="112"/>
      <c r="C134" s="112"/>
      <c r="D134" s="112"/>
      <c r="E134" s="114">
        <v>98</v>
      </c>
      <c r="F134" s="171"/>
      <c r="G134" s="171"/>
      <c r="H134" s="171"/>
      <c r="I134" s="114"/>
      <c r="K134" s="116">
        <f>calculations!AA153</f>
        <v>87</v>
      </c>
      <c r="L134" s="117">
        <f ca="1">calculations!AF153</f>
        <v>0.15985558598023147</v>
      </c>
      <c r="M134" s="118">
        <f ca="1">calculations!AK153</f>
        <v>2.003064881496583</v>
      </c>
      <c r="N134" s="112"/>
      <c r="O134" s="119"/>
      <c r="P134" s="119"/>
      <c r="Q134" s="119"/>
      <c r="R134" s="119"/>
      <c r="S134" s="120"/>
      <c r="T134" s="120"/>
      <c r="U134" s="120"/>
      <c r="V134" s="120"/>
      <c r="W134" s="120"/>
      <c r="X134" s="120"/>
      <c r="Y134" s="120"/>
      <c r="Z134" s="120"/>
      <c r="AA134" s="121"/>
      <c r="AB134" s="121"/>
      <c r="AC134" s="121"/>
      <c r="AD134" s="121"/>
      <c r="AE134" s="121"/>
      <c r="AF134" s="120"/>
      <c r="AG134" s="120"/>
      <c r="AH134" s="120"/>
      <c r="AI134" s="120"/>
      <c r="AJ134" s="120"/>
      <c r="AK134" s="122"/>
      <c r="AL134" s="119"/>
      <c r="AM134" s="119"/>
      <c r="AN134" s="119"/>
      <c r="AO134" s="119"/>
      <c r="AP134" s="119"/>
      <c r="AQ134" s="119"/>
      <c r="AR134" s="119"/>
      <c r="AS134" s="119"/>
      <c r="AT134" s="119"/>
      <c r="AU134" s="119"/>
      <c r="AV134" s="120"/>
    </row>
    <row r="135" spans="1:48" s="112" customFormat="1" ht="11.1" customHeight="1" x14ac:dyDescent="0.2">
      <c r="E135" s="114">
        <v>99</v>
      </c>
      <c r="F135" s="171"/>
      <c r="G135" s="171"/>
      <c r="H135" s="171"/>
      <c r="I135" s="114"/>
      <c r="K135" s="116">
        <f>calculations!AA154</f>
        <v>88</v>
      </c>
      <c r="L135" s="117">
        <f ca="1">calculations!AF154</f>
        <v>0.12793359122804088</v>
      </c>
      <c r="M135" s="118">
        <f ca="1">calculations!AK154</f>
        <v>2.0053425293638987</v>
      </c>
      <c r="O135" s="119"/>
      <c r="P135" s="119"/>
      <c r="Q135" s="119"/>
      <c r="R135" s="119"/>
      <c r="S135" s="120"/>
      <c r="T135" s="120"/>
      <c r="U135" s="120"/>
      <c r="V135" s="120"/>
      <c r="W135" s="120"/>
      <c r="X135" s="120"/>
      <c r="Y135" s="120"/>
      <c r="Z135" s="120"/>
      <c r="AA135" s="121"/>
      <c r="AB135" s="121"/>
      <c r="AC135" s="121"/>
      <c r="AD135" s="121"/>
      <c r="AE135" s="121"/>
      <c r="AF135" s="120"/>
      <c r="AG135" s="120"/>
      <c r="AH135" s="120"/>
      <c r="AI135" s="120"/>
      <c r="AJ135" s="120"/>
      <c r="AK135" s="122"/>
      <c r="AL135" s="119"/>
      <c r="AM135" s="119"/>
      <c r="AN135" s="119"/>
      <c r="AO135" s="119"/>
      <c r="AP135" s="119"/>
      <c r="AQ135" s="119"/>
      <c r="AR135" s="119"/>
      <c r="AS135" s="119"/>
      <c r="AT135" s="119"/>
      <c r="AU135" s="119"/>
      <c r="AV135" s="120"/>
    </row>
    <row r="136" spans="1:48" s="112" customFormat="1" ht="11.1" customHeight="1" x14ac:dyDescent="0.2">
      <c r="E136" s="113">
        <v>100</v>
      </c>
      <c r="F136" s="172"/>
      <c r="G136" s="172"/>
      <c r="H136" s="172"/>
      <c r="I136" s="113"/>
      <c r="K136" s="116">
        <f>calculations!AA155</f>
        <v>89</v>
      </c>
      <c r="L136" s="117">
        <f ca="1">calculations!AF155</f>
        <v>9.5975607183880429E-2</v>
      </c>
      <c r="M136" s="118">
        <f ca="1">calculations!AK155</f>
        <v>2.0067095769917582</v>
      </c>
      <c r="O136" s="120"/>
      <c r="P136" s="121"/>
      <c r="Q136" s="121"/>
      <c r="R136" s="120"/>
      <c r="S136" s="120"/>
      <c r="T136" s="120"/>
      <c r="U136" s="120"/>
      <c r="V136" s="120"/>
      <c r="W136" s="120"/>
      <c r="X136" s="120"/>
      <c r="Y136" s="120"/>
      <c r="Z136" s="120"/>
      <c r="AA136" s="121"/>
      <c r="AB136" s="121"/>
      <c r="AC136" s="121"/>
      <c r="AD136" s="121"/>
      <c r="AE136" s="121"/>
      <c r="AF136" s="120"/>
      <c r="AG136" s="120"/>
      <c r="AH136" s="120"/>
      <c r="AI136" s="120"/>
      <c r="AJ136" s="120"/>
      <c r="AK136" s="122"/>
      <c r="AL136" s="119"/>
      <c r="AM136" s="119"/>
      <c r="AN136" s="119"/>
      <c r="AO136" s="119"/>
      <c r="AP136" s="119"/>
      <c r="AQ136" s="119"/>
      <c r="AR136" s="119"/>
      <c r="AS136" s="119"/>
      <c r="AT136" s="119"/>
      <c r="AU136" s="119"/>
      <c r="AV136" s="120"/>
    </row>
    <row r="137" spans="1:48" s="115" customFormat="1" ht="11.1" customHeight="1" x14ac:dyDescent="0.2">
      <c r="A137" s="123" t="b">
        <f>calculations!$U$28</f>
        <v>1</v>
      </c>
      <c r="B137" s="123">
        <f>calculations!$M$17</f>
        <v>30</v>
      </c>
      <c r="C137" s="123">
        <f>calculations!$J$24</f>
        <v>12</v>
      </c>
      <c r="D137" s="123">
        <f>calculations!$J$19</f>
        <v>6</v>
      </c>
      <c r="E137" s="113"/>
      <c r="F137" s="113"/>
      <c r="G137" s="113"/>
      <c r="H137" s="113"/>
      <c r="I137" s="113"/>
      <c r="K137" s="116">
        <f>calculations!AA156</f>
        <v>90</v>
      </c>
      <c r="L137" s="117">
        <f ca="1">calculations!AF156</f>
        <v>6.3994054131360181E-2</v>
      </c>
      <c r="M137" s="118">
        <f ca="1">calculations!AK156</f>
        <v>2.0071653360305115</v>
      </c>
      <c r="N137" s="112"/>
      <c r="O137" s="120"/>
      <c r="P137" s="121"/>
      <c r="Q137" s="121"/>
      <c r="R137" s="120"/>
      <c r="S137" s="120"/>
      <c r="T137" s="120"/>
      <c r="U137" s="120"/>
      <c r="V137" s="120"/>
      <c r="W137" s="120"/>
      <c r="X137" s="120"/>
      <c r="Y137" s="120"/>
      <c r="Z137" s="120"/>
      <c r="AA137" s="121"/>
      <c r="AB137" s="121"/>
      <c r="AC137" s="121"/>
      <c r="AD137" s="121"/>
      <c r="AE137" s="121"/>
      <c r="AF137" s="120"/>
      <c r="AG137" s="120"/>
      <c r="AH137" s="120"/>
      <c r="AI137" s="120"/>
      <c r="AJ137" s="120"/>
      <c r="AK137" s="122"/>
      <c r="AL137" s="119"/>
      <c r="AM137" s="119"/>
      <c r="AN137" s="119"/>
      <c r="AO137" s="119"/>
      <c r="AP137" s="119"/>
      <c r="AQ137" s="119"/>
      <c r="AR137" s="119"/>
      <c r="AS137" s="119"/>
      <c r="AT137" s="119"/>
      <c r="AU137" s="119"/>
      <c r="AV137" s="120"/>
    </row>
    <row r="138" spans="1:48" s="115" customFormat="1" ht="11.1" customHeight="1" x14ac:dyDescent="0.2">
      <c r="A138" s="123">
        <f ca="1">calculations!$U$22</f>
        <v>59</v>
      </c>
      <c r="B138" s="123"/>
      <c r="C138" s="123">
        <f>calculations!$K$24</f>
        <v>30</v>
      </c>
      <c r="D138" s="123">
        <f>calculations!$K$19</f>
        <v>14</v>
      </c>
      <c r="E138" s="114"/>
      <c r="F138" s="114"/>
      <c r="G138" s="114"/>
      <c r="H138" s="114"/>
      <c r="I138" s="114"/>
      <c r="K138" s="116">
        <f>calculations!AA157</f>
        <v>91</v>
      </c>
      <c r="L138" s="117">
        <f ca="1">calculations!AF157</f>
        <v>3.1999467640300538E-2</v>
      </c>
      <c r="M138" s="118">
        <f ca="1">calculations!AK157</f>
        <v>2.0067095769917582</v>
      </c>
      <c r="N138" s="112"/>
      <c r="O138" s="120"/>
      <c r="P138" s="121"/>
      <c r="Q138" s="121"/>
      <c r="R138" s="120"/>
      <c r="S138" s="120"/>
      <c r="T138" s="120"/>
      <c r="U138" s="120"/>
      <c r="V138" s="120"/>
      <c r="W138" s="120"/>
      <c r="X138" s="120"/>
      <c r="Y138" s="120"/>
      <c r="Z138" s="120"/>
      <c r="AA138" s="121"/>
      <c r="AB138" s="121"/>
      <c r="AC138" s="121"/>
      <c r="AD138" s="121"/>
      <c r="AE138" s="121"/>
      <c r="AF138" s="120"/>
      <c r="AG138" s="120"/>
      <c r="AH138" s="120"/>
      <c r="AI138" s="120"/>
      <c r="AJ138" s="120"/>
      <c r="AK138" s="122"/>
      <c r="AL138" s="119"/>
      <c r="AM138" s="119"/>
      <c r="AN138" s="119"/>
      <c r="AO138" s="119"/>
      <c r="AP138" s="119"/>
      <c r="AQ138" s="119"/>
      <c r="AR138" s="119"/>
      <c r="AS138" s="119"/>
      <c r="AT138" s="119"/>
      <c r="AU138" s="119"/>
      <c r="AV138" s="120"/>
    </row>
    <row r="139" spans="1:48" s="115" customFormat="1" ht="11.1" customHeight="1" x14ac:dyDescent="0.2">
      <c r="A139" s="112"/>
      <c r="B139" s="112"/>
      <c r="C139" s="112"/>
      <c r="D139" s="112"/>
      <c r="E139" s="114"/>
      <c r="F139" s="114"/>
      <c r="G139" s="114"/>
      <c r="H139" s="114"/>
      <c r="I139" s="114"/>
      <c r="K139" s="116">
        <f>calculations!AA158</f>
        <v>92</v>
      </c>
      <c r="L139" s="117">
        <f ca="1">calculations!AF158</f>
        <v>0</v>
      </c>
      <c r="M139" s="118">
        <f ca="1">calculations!AK158</f>
        <v>2.0053425293638987</v>
      </c>
      <c r="N139" s="112"/>
      <c r="O139" s="120"/>
      <c r="P139" s="121"/>
      <c r="Q139" s="121"/>
      <c r="R139" s="120"/>
      <c r="S139" s="120"/>
      <c r="T139" s="120"/>
      <c r="U139" s="120"/>
      <c r="V139" s="120"/>
      <c r="W139" s="120"/>
      <c r="X139" s="120"/>
      <c r="Y139" s="120"/>
      <c r="Z139" s="120"/>
      <c r="AA139" s="121"/>
      <c r="AB139" s="121"/>
      <c r="AC139" s="121"/>
      <c r="AD139" s="121"/>
      <c r="AE139" s="121"/>
      <c r="AF139" s="120"/>
      <c r="AG139" s="120"/>
      <c r="AH139" s="120"/>
      <c r="AI139" s="120"/>
      <c r="AJ139" s="120"/>
      <c r="AK139" s="122"/>
      <c r="AL139" s="119"/>
      <c r="AM139" s="119"/>
      <c r="AN139" s="119"/>
      <c r="AO139" s="119"/>
      <c r="AP139" s="119"/>
      <c r="AQ139" s="119"/>
      <c r="AR139" s="119"/>
      <c r="AS139" s="119"/>
      <c r="AT139" s="119"/>
      <c r="AU139" s="119"/>
      <c r="AV139" s="120"/>
    </row>
    <row r="140" spans="1:48" s="115" customFormat="1" ht="11.1" customHeight="1" x14ac:dyDescent="0.2">
      <c r="A140" s="112"/>
      <c r="B140" s="112"/>
      <c r="C140" s="112"/>
      <c r="D140" s="112"/>
      <c r="E140" s="114"/>
      <c r="F140" s="114"/>
      <c r="G140" s="114"/>
      <c r="H140" s="114"/>
      <c r="I140" s="114"/>
      <c r="K140" s="116">
        <f>calculations!AA159</f>
        <v>93</v>
      </c>
      <c r="L140" s="117">
        <f ca="1">calculations!AF159</f>
        <v>-3.1999467640300538E-2</v>
      </c>
      <c r="M140" s="118">
        <f ca="1">calculations!AK159</f>
        <v>2.003064881496583</v>
      </c>
      <c r="N140" s="112"/>
      <c r="O140" s="120"/>
      <c r="P140" s="121"/>
      <c r="Q140" s="121"/>
      <c r="R140" s="120"/>
      <c r="S140" s="120"/>
      <c r="T140" s="120"/>
      <c r="U140" s="120"/>
      <c r="V140" s="120"/>
      <c r="W140" s="120"/>
      <c r="X140" s="120"/>
      <c r="Y140" s="120"/>
      <c r="Z140" s="120"/>
      <c r="AA140" s="121"/>
      <c r="AB140" s="121"/>
      <c r="AC140" s="121"/>
      <c r="AD140" s="121"/>
      <c r="AE140" s="121"/>
      <c r="AF140" s="120"/>
      <c r="AG140" s="120"/>
      <c r="AH140" s="120"/>
      <c r="AI140" s="120"/>
      <c r="AJ140" s="120"/>
      <c r="AK140" s="122"/>
      <c r="AL140" s="119"/>
      <c r="AM140" s="119"/>
      <c r="AN140" s="119"/>
      <c r="AO140" s="119"/>
      <c r="AP140" s="119"/>
      <c r="AQ140" s="119"/>
      <c r="AR140" s="119"/>
      <c r="AS140" s="119"/>
      <c r="AT140" s="119"/>
      <c r="AU140" s="119"/>
      <c r="AV140" s="120"/>
    </row>
    <row r="141" spans="1:48" s="115" customFormat="1" ht="11.1" customHeight="1" x14ac:dyDescent="0.2">
      <c r="A141" s="112"/>
      <c r="B141" s="112"/>
      <c r="C141" s="112"/>
      <c r="D141" s="112"/>
      <c r="E141" s="114"/>
      <c r="F141" s="114"/>
      <c r="G141" s="114"/>
      <c r="H141" s="114"/>
      <c r="I141" s="114"/>
      <c r="K141" s="116">
        <f>calculations!AA160</f>
        <v>94</v>
      </c>
      <c r="L141" s="117">
        <f ca="1">calculations!AF160</f>
        <v>-6.3994054131360181E-2</v>
      </c>
      <c r="M141" s="118">
        <f ca="1">calculations!AK160</f>
        <v>1.999877780254103</v>
      </c>
      <c r="N141" s="112"/>
      <c r="O141" s="120"/>
      <c r="P141" s="121"/>
      <c r="Q141" s="121"/>
      <c r="R141" s="120"/>
      <c r="S141" s="120"/>
      <c r="T141" s="120"/>
      <c r="U141" s="120"/>
      <c r="V141" s="120"/>
      <c r="W141" s="120"/>
      <c r="X141" s="120"/>
      <c r="Y141" s="120"/>
      <c r="Z141" s="120"/>
      <c r="AA141" s="121"/>
      <c r="AB141" s="121"/>
      <c r="AC141" s="121"/>
      <c r="AD141" s="121"/>
      <c r="AE141" s="121"/>
      <c r="AF141" s="120"/>
      <c r="AG141" s="120"/>
      <c r="AH141" s="120"/>
      <c r="AI141" s="120"/>
      <c r="AJ141" s="120"/>
      <c r="AK141" s="122"/>
      <c r="AL141" s="119"/>
      <c r="AM141" s="119"/>
      <c r="AN141" s="119"/>
      <c r="AO141" s="119"/>
      <c r="AP141" s="119"/>
      <c r="AQ141" s="119"/>
      <c r="AR141" s="119"/>
      <c r="AS141" s="119"/>
      <c r="AT141" s="119"/>
      <c r="AU141" s="119"/>
      <c r="AV141" s="120"/>
    </row>
    <row r="142" spans="1:48" s="115" customFormat="1" ht="11.1" customHeight="1" x14ac:dyDescent="0.2">
      <c r="A142" s="112"/>
      <c r="B142" s="112"/>
      <c r="C142" s="112"/>
      <c r="D142" s="112"/>
      <c r="E142" s="114"/>
      <c r="F142" s="114"/>
      <c r="G142" s="114"/>
      <c r="H142" s="114"/>
      <c r="I142" s="114"/>
      <c r="K142" s="116">
        <f>calculations!AA161</f>
        <v>95</v>
      </c>
      <c r="L142" s="117">
        <f ca="1">calculations!AF161</f>
        <v>-9.5975607183880429E-2</v>
      </c>
      <c r="M142" s="118">
        <f ca="1">calculations!AK161</f>
        <v>1.9957828304379142</v>
      </c>
      <c r="N142" s="112"/>
      <c r="O142" s="120"/>
      <c r="P142" s="121"/>
      <c r="Q142" s="121"/>
      <c r="R142" s="120"/>
      <c r="S142" s="120"/>
      <c r="T142" s="120"/>
      <c r="U142" s="120"/>
      <c r="V142" s="120"/>
      <c r="W142" s="120"/>
      <c r="X142" s="120"/>
      <c r="Y142" s="120"/>
      <c r="Z142" s="120"/>
      <c r="AA142" s="121"/>
      <c r="AB142" s="121"/>
      <c r="AC142" s="121"/>
      <c r="AD142" s="121"/>
      <c r="AE142" s="121"/>
      <c r="AF142" s="120"/>
      <c r="AG142" s="120"/>
      <c r="AH142" s="120"/>
      <c r="AI142" s="120"/>
      <c r="AJ142" s="120"/>
      <c r="AK142" s="122"/>
      <c r="AL142" s="119"/>
      <c r="AM142" s="119"/>
      <c r="AN142" s="119"/>
      <c r="AO142" s="119"/>
      <c r="AP142" s="119"/>
      <c r="AQ142" s="119"/>
      <c r="AR142" s="119"/>
      <c r="AS142" s="119"/>
      <c r="AT142" s="119"/>
      <c r="AU142" s="119"/>
      <c r="AV142" s="120"/>
    </row>
    <row r="143" spans="1:48" s="115" customFormat="1" ht="11.1" customHeight="1" x14ac:dyDescent="0.2">
      <c r="A143" s="112"/>
      <c r="B143" s="112"/>
      <c r="C143" s="112"/>
      <c r="D143" s="112"/>
      <c r="E143" s="114"/>
      <c r="F143" s="114"/>
      <c r="G143" s="114"/>
      <c r="H143" s="114"/>
      <c r="I143" s="114"/>
      <c r="K143" s="116">
        <f>calculations!AA162</f>
        <v>96</v>
      </c>
      <c r="L143" s="117">
        <f ca="1">calculations!AF162</f>
        <v>-0.12793359122804088</v>
      </c>
      <c r="M143" s="118">
        <f ca="1">calculations!AK162</f>
        <v>1.9907820939785681</v>
      </c>
      <c r="N143" s="112"/>
      <c r="O143" s="120"/>
      <c r="P143" s="121"/>
      <c r="Q143" s="121"/>
      <c r="R143" s="120"/>
      <c r="S143" s="120"/>
      <c r="T143" s="120"/>
      <c r="U143" s="120"/>
      <c r="V143" s="120"/>
      <c r="W143" s="120"/>
      <c r="X143" s="120"/>
      <c r="Y143" s="120"/>
      <c r="Z143" s="120"/>
      <c r="AA143" s="121"/>
      <c r="AB143" s="121"/>
      <c r="AC143" s="121"/>
      <c r="AD143" s="121"/>
      <c r="AE143" s="121"/>
      <c r="AF143" s="120"/>
      <c r="AG143" s="120"/>
      <c r="AH143" s="120"/>
      <c r="AI143" s="120"/>
      <c r="AJ143" s="120"/>
      <c r="AK143" s="122"/>
      <c r="AL143" s="119"/>
      <c r="AM143" s="119"/>
      <c r="AN143" s="119"/>
      <c r="AO143" s="119"/>
      <c r="AP143" s="119"/>
      <c r="AQ143" s="119"/>
      <c r="AR143" s="119"/>
      <c r="AS143" s="119"/>
      <c r="AT143" s="119"/>
      <c r="AU143" s="119"/>
      <c r="AV143" s="120"/>
    </row>
    <row r="144" spans="1:48" s="115" customFormat="1" ht="11.1" customHeight="1" x14ac:dyDescent="0.2">
      <c r="A144" s="112"/>
      <c r="B144" s="112"/>
      <c r="C144" s="112"/>
      <c r="D144" s="112"/>
      <c r="E144" s="114"/>
      <c r="F144" s="114"/>
      <c r="G144" s="114"/>
      <c r="H144" s="114"/>
      <c r="I144" s="114"/>
      <c r="K144" s="116">
        <f>calculations!AA163</f>
        <v>97</v>
      </c>
      <c r="L144" s="117">
        <f ca="1">calculations!AF163</f>
        <v>-0.15985558598023147</v>
      </c>
      <c r="M144" s="118">
        <f ca="1">calculations!AK163</f>
        <v>1.9848780888974693</v>
      </c>
      <c r="N144" s="112"/>
      <c r="O144" s="120"/>
      <c r="P144" s="121"/>
      <c r="Q144" s="121"/>
      <c r="R144" s="120"/>
      <c r="S144" s="120"/>
      <c r="T144" s="120"/>
      <c r="U144" s="120"/>
      <c r="V144" s="120"/>
      <c r="W144" s="120"/>
      <c r="X144" s="120"/>
      <c r="Y144" s="120"/>
      <c r="Z144" s="120"/>
      <c r="AA144" s="121"/>
      <c r="AB144" s="121"/>
      <c r="AC144" s="121"/>
      <c r="AD144" s="121"/>
      <c r="AE144" s="121"/>
      <c r="AF144" s="120"/>
      <c r="AG144" s="120"/>
      <c r="AH144" s="120"/>
      <c r="AI144" s="120"/>
      <c r="AJ144" s="120"/>
      <c r="AK144" s="122"/>
      <c r="AL144" s="119"/>
      <c r="AM144" s="119"/>
      <c r="AN144" s="119"/>
      <c r="AO144" s="119"/>
      <c r="AP144" s="119"/>
      <c r="AQ144" s="119"/>
      <c r="AR144" s="119"/>
      <c r="AS144" s="119"/>
      <c r="AT144" s="119"/>
      <c r="AU144" s="119"/>
      <c r="AV144" s="120"/>
    </row>
    <row r="145" spans="1:48" s="115" customFormat="1" ht="11.1" customHeight="1" x14ac:dyDescent="0.2">
      <c r="A145" s="112"/>
      <c r="B145" s="112"/>
      <c r="C145" s="112"/>
      <c r="D145" s="112"/>
      <c r="E145" s="114"/>
      <c r="F145" s="114"/>
      <c r="G145" s="114"/>
      <c r="H145" s="114"/>
      <c r="I145" s="114"/>
      <c r="K145" s="116">
        <f>calculations!AA164</f>
        <v>98</v>
      </c>
      <c r="L145" s="117">
        <f ca="1">calculations!AF164</f>
        <v>-0.19172755924134</v>
      </c>
      <c r="M145" s="118">
        <f ca="1">calculations!AK164</f>
        <v>1.9780737880389754</v>
      </c>
      <c r="N145" s="112"/>
      <c r="O145" s="120"/>
      <c r="P145" s="121"/>
      <c r="Q145" s="121"/>
      <c r="R145" s="120"/>
      <c r="S145" s="120"/>
      <c r="T145" s="120"/>
      <c r="U145" s="120"/>
      <c r="V145" s="120"/>
      <c r="W145" s="120"/>
      <c r="X145" s="120"/>
      <c r="Y145" s="120"/>
      <c r="Z145" s="120"/>
      <c r="AA145" s="121"/>
      <c r="AB145" s="121"/>
      <c r="AC145" s="121"/>
      <c r="AD145" s="121"/>
      <c r="AE145" s="121"/>
      <c r="AF145" s="120"/>
      <c r="AG145" s="120"/>
      <c r="AH145" s="120"/>
      <c r="AI145" s="120"/>
      <c r="AJ145" s="120"/>
      <c r="AK145" s="122"/>
      <c r="AL145" s="119"/>
      <c r="AM145" s="119"/>
      <c r="AN145" s="119"/>
      <c r="AO145" s="119"/>
      <c r="AP145" s="119"/>
      <c r="AQ145" s="119"/>
      <c r="AR145" s="119"/>
      <c r="AS145" s="119"/>
      <c r="AT145" s="119"/>
      <c r="AU145" s="119"/>
      <c r="AV145" s="120"/>
    </row>
    <row r="146" spans="1:48" s="115" customFormat="1" ht="11.1" customHeight="1" x14ac:dyDescent="0.2">
      <c r="A146" s="112"/>
      <c r="B146" s="112"/>
      <c r="C146" s="112"/>
      <c r="D146" s="112"/>
      <c r="E146" s="114"/>
      <c r="F146" s="114"/>
      <c r="G146" s="114"/>
      <c r="H146" s="114"/>
      <c r="I146" s="114"/>
      <c r="K146" s="116">
        <f>calculations!AA165</f>
        <v>99</v>
      </c>
      <c r="L146" s="117">
        <f ca="1">calculations!AF165</f>
        <v>-0.22353404755668371</v>
      </c>
      <c r="M146" s="118">
        <f ca="1">calculations!AK165</f>
        <v>1.9703726175734795</v>
      </c>
      <c r="N146" s="112"/>
      <c r="O146" s="120"/>
      <c r="P146" s="121"/>
      <c r="Q146" s="121"/>
      <c r="R146" s="120"/>
      <c r="S146" s="120"/>
      <c r="T146" s="120"/>
      <c r="U146" s="120"/>
      <c r="V146" s="120"/>
      <c r="W146" s="120"/>
      <c r="X146" s="120"/>
      <c r="Y146" s="120"/>
      <c r="Z146" s="120"/>
      <c r="AA146" s="121"/>
      <c r="AB146" s="121"/>
      <c r="AC146" s="121"/>
      <c r="AD146" s="121"/>
      <c r="AE146" s="121"/>
      <c r="AF146" s="120"/>
      <c r="AG146" s="120"/>
      <c r="AH146" s="120"/>
      <c r="AI146" s="120"/>
      <c r="AJ146" s="120"/>
      <c r="AK146" s="122"/>
      <c r="AL146" s="119"/>
      <c r="AM146" s="119"/>
      <c r="AN146" s="119"/>
      <c r="AO146" s="119"/>
      <c r="AP146" s="119"/>
      <c r="AQ146" s="119"/>
      <c r="AR146" s="119"/>
      <c r="AS146" s="119"/>
      <c r="AT146" s="119"/>
      <c r="AU146" s="119"/>
      <c r="AV146" s="120"/>
    </row>
    <row r="147" spans="1:48" s="115" customFormat="1" ht="11.1" customHeight="1" x14ac:dyDescent="0.2">
      <c r="A147" s="112"/>
      <c r="B147" s="112"/>
      <c r="C147" s="112"/>
      <c r="D147" s="112"/>
      <c r="E147" s="114"/>
      <c r="F147" s="114"/>
      <c r="G147" s="114"/>
      <c r="H147" s="114"/>
      <c r="I147" s="114"/>
      <c r="K147" s="116">
        <f>calculations!AA166</f>
        <v>100</v>
      </c>
      <c r="L147" s="117">
        <f ca="1">calculations!AF166</f>
        <v>-0.25525828751688462</v>
      </c>
      <c r="M147" s="118">
        <f ca="1">calculations!AK166</f>
        <v>1.9617784552722322</v>
      </c>
      <c r="N147" s="112"/>
      <c r="O147" s="120"/>
      <c r="P147" s="121"/>
      <c r="Q147" s="121"/>
      <c r="R147" s="120"/>
      <c r="S147" s="120"/>
      <c r="T147" s="120"/>
      <c r="U147" s="120"/>
      <c r="V147" s="120"/>
      <c r="W147" s="120"/>
      <c r="X147" s="120"/>
      <c r="Y147" s="120"/>
      <c r="Z147" s="120"/>
      <c r="AA147" s="121"/>
      <c r="AB147" s="121"/>
      <c r="AC147" s="121"/>
      <c r="AD147" s="121"/>
      <c r="AE147" s="121"/>
      <c r="AF147" s="120"/>
      <c r="AG147" s="120"/>
      <c r="AH147" s="120"/>
      <c r="AI147" s="120"/>
      <c r="AJ147" s="120"/>
      <c r="AK147" s="122"/>
      <c r="AL147" s="119"/>
      <c r="AM147" s="119"/>
      <c r="AN147" s="119"/>
      <c r="AO147" s="119"/>
      <c r="AP147" s="119"/>
      <c r="AQ147" s="119"/>
      <c r="AR147" s="119"/>
      <c r="AS147" s="119"/>
      <c r="AT147" s="119"/>
      <c r="AU147" s="119"/>
      <c r="AV147" s="120"/>
    </row>
    <row r="148" spans="1:48" s="115" customFormat="1" ht="11.1" customHeight="1" x14ac:dyDescent="0.2">
      <c r="A148" s="112"/>
      <c r="B148" s="112"/>
      <c r="C148" s="112"/>
      <c r="D148" s="112"/>
      <c r="E148" s="114"/>
      <c r="F148" s="114"/>
      <c r="G148" s="114"/>
      <c r="H148" s="114"/>
      <c r="I148" s="114"/>
      <c r="K148" s="116">
        <f>calculations!AA167</f>
        <v>101</v>
      </c>
      <c r="L148" s="117">
        <f ca="1">calculations!AF167</f>
        <v>-0.28688231682668475</v>
      </c>
      <c r="M148" s="118">
        <f ca="1">calculations!AK167</f>
        <v>1.9522956285547648</v>
      </c>
      <c r="N148" s="112"/>
      <c r="O148" s="120"/>
      <c r="P148" s="121"/>
      <c r="Q148" s="121"/>
      <c r="R148" s="120"/>
      <c r="S148" s="120"/>
      <c r="T148" s="120"/>
      <c r="U148" s="120"/>
      <c r="V148" s="120"/>
      <c r="W148" s="120"/>
      <c r="X148" s="120"/>
      <c r="Y148" s="120"/>
      <c r="Z148" s="120"/>
      <c r="AA148" s="121"/>
      <c r="AB148" s="121"/>
      <c r="AC148" s="121"/>
      <c r="AD148" s="121"/>
      <c r="AE148" s="121"/>
      <c r="AF148" s="120"/>
      <c r="AG148" s="120"/>
      <c r="AH148" s="120"/>
      <c r="AI148" s="120"/>
      <c r="AJ148" s="120"/>
      <c r="AK148" s="122"/>
      <c r="AL148" s="119"/>
      <c r="AM148" s="119"/>
      <c r="AN148" s="119"/>
      <c r="AO148" s="119"/>
      <c r="AP148" s="119"/>
      <c r="AQ148" s="119"/>
      <c r="AR148" s="119"/>
      <c r="AS148" s="119"/>
      <c r="AT148" s="119"/>
      <c r="AU148" s="119"/>
      <c r="AV148" s="120"/>
    </row>
    <row r="149" spans="1:48" s="115" customFormat="1" ht="11.1" customHeight="1" x14ac:dyDescent="0.2">
      <c r="A149" s="112"/>
      <c r="B149" s="112"/>
      <c r="C149" s="112"/>
      <c r="D149" s="112"/>
      <c r="E149" s="114"/>
      <c r="F149" s="114"/>
      <c r="G149" s="114"/>
      <c r="H149" s="114"/>
      <c r="I149" s="114"/>
      <c r="K149" s="116">
        <f>calculations!AA168</f>
        <v>102</v>
      </c>
      <c r="L149" s="117">
        <f ca="1">calculations!AF168</f>
        <v>-0.31838705523322847</v>
      </c>
      <c r="M149" s="118">
        <f ca="1">calculations!AK168</f>
        <v>1.9419289123099051</v>
      </c>
      <c r="N149" s="112"/>
      <c r="O149" s="120"/>
      <c r="P149" s="121"/>
      <c r="Q149" s="121"/>
      <c r="R149" s="120"/>
      <c r="S149" s="120"/>
      <c r="T149" s="120"/>
      <c r="U149" s="120"/>
      <c r="V149" s="120"/>
      <c r="W149" s="120"/>
      <c r="X149" s="120"/>
      <c r="Y149" s="120"/>
      <c r="Z149" s="120"/>
      <c r="AA149" s="121"/>
      <c r="AB149" s="121"/>
      <c r="AC149" s="121"/>
      <c r="AD149" s="121"/>
      <c r="AE149" s="121"/>
      <c r="AF149" s="120"/>
      <c r="AG149" s="120"/>
      <c r="AH149" s="120"/>
      <c r="AI149" s="120"/>
      <c r="AJ149" s="120"/>
      <c r="AK149" s="122"/>
      <c r="AL149" s="119"/>
      <c r="AM149" s="119"/>
      <c r="AN149" s="119"/>
      <c r="AO149" s="119"/>
      <c r="AP149" s="119"/>
      <c r="AQ149" s="119"/>
      <c r="AR149" s="119"/>
      <c r="AS149" s="119"/>
      <c r="AT149" s="119"/>
      <c r="AU149" s="119"/>
      <c r="AV149" s="120"/>
    </row>
    <row r="150" spans="1:48" s="115" customFormat="1" ht="11.1" customHeight="1" x14ac:dyDescent="0.2">
      <c r="A150" s="112"/>
      <c r="B150" s="112"/>
      <c r="C150" s="112"/>
      <c r="D150" s="112"/>
      <c r="E150" s="114"/>
      <c r="F150" s="114"/>
      <c r="G150" s="114"/>
      <c r="H150" s="114"/>
      <c r="I150" s="114"/>
      <c r="K150" s="116">
        <f>calculations!AA169</f>
        <v>103</v>
      </c>
      <c r="L150" s="117">
        <f ca="1">calculations!AF169</f>
        <v>-0.34975237122828412</v>
      </c>
      <c r="M150" s="118">
        <f ca="1">calculations!AK169</f>
        <v>1.9306835264914757</v>
      </c>
      <c r="N150" s="112"/>
      <c r="O150" s="120"/>
      <c r="P150" s="121"/>
      <c r="Q150" s="121"/>
      <c r="R150" s="120"/>
      <c r="S150" s="120"/>
      <c r="T150" s="120"/>
      <c r="U150" s="120"/>
      <c r="V150" s="120"/>
      <c r="W150" s="120"/>
      <c r="X150" s="120"/>
      <c r="Y150" s="120"/>
      <c r="Z150" s="120"/>
      <c r="AA150" s="121"/>
      <c r="AB150" s="121"/>
      <c r="AC150" s="121"/>
      <c r="AD150" s="121"/>
      <c r="AE150" s="121"/>
      <c r="AF150" s="120"/>
      <c r="AG150" s="120"/>
      <c r="AH150" s="120"/>
      <c r="AI150" s="120"/>
      <c r="AJ150" s="120"/>
      <c r="AK150" s="122"/>
      <c r="AL150" s="119"/>
      <c r="AM150" s="119"/>
      <c r="AN150" s="119"/>
      <c r="AO150" s="119"/>
      <c r="AP150" s="119"/>
      <c r="AQ150" s="119"/>
      <c r="AR150" s="119"/>
      <c r="AS150" s="119"/>
      <c r="AT150" s="119"/>
      <c r="AU150" s="119"/>
      <c r="AV150" s="120"/>
    </row>
    <row r="151" spans="1:48" s="115" customFormat="1" ht="11.1" customHeight="1" x14ac:dyDescent="0.2">
      <c r="A151" s="112"/>
      <c r="B151" s="112"/>
      <c r="C151" s="112"/>
      <c r="D151" s="112"/>
      <c r="E151" s="114"/>
      <c r="F151" s="114"/>
      <c r="G151" s="114"/>
      <c r="H151" s="114"/>
      <c r="I151" s="114"/>
      <c r="K151" s="116">
        <f>calculations!AA170</f>
        <v>104</v>
      </c>
      <c r="L151" s="117">
        <f ca="1">calculations!AF170</f>
        <v>-0.38095713825679622</v>
      </c>
      <c r="M151" s="118">
        <f ca="1">calculations!AK170</f>
        <v>1.918565133489891</v>
      </c>
      <c r="N151" s="112"/>
      <c r="O151" s="120"/>
      <c r="P151" s="121"/>
      <c r="Q151" s="121"/>
      <c r="R151" s="120"/>
      <c r="S151" s="120"/>
      <c r="T151" s="120"/>
      <c r="U151" s="120"/>
      <c r="V151" s="120"/>
      <c r="W151" s="120"/>
      <c r="X151" s="120"/>
      <c r="Y151" s="120"/>
      <c r="Z151" s="120"/>
      <c r="AA151" s="121"/>
      <c r="AB151" s="121"/>
      <c r="AC151" s="121"/>
      <c r="AD151" s="121"/>
      <c r="AE151" s="121"/>
      <c r="AF151" s="120"/>
      <c r="AG151" s="120"/>
      <c r="AH151" s="120"/>
      <c r="AI151" s="120"/>
      <c r="AJ151" s="120"/>
      <c r="AK151" s="122"/>
      <c r="AL151" s="119"/>
      <c r="AM151" s="119"/>
      <c r="AN151" s="119"/>
      <c r="AO151" s="119"/>
      <c r="AP151" s="119"/>
      <c r="AQ151" s="119"/>
      <c r="AR151" s="119"/>
      <c r="AS151" s="119"/>
      <c r="AT151" s="119"/>
      <c r="AU151" s="119"/>
      <c r="AV151" s="120"/>
    </row>
    <row r="152" spans="1:48" s="115" customFormat="1" ht="11.1" customHeight="1" x14ac:dyDescent="0.2">
      <c r="A152" s="112"/>
      <c r="B152" s="112"/>
      <c r="C152" s="112"/>
      <c r="D152" s="112"/>
      <c r="E152" s="114"/>
      <c r="F152" s="114"/>
      <c r="G152" s="114"/>
      <c r="H152" s="114"/>
      <c r="I152" s="114"/>
      <c r="K152" s="116">
        <f>calculations!AA171</f>
        <v>105</v>
      </c>
      <c r="L152" s="117">
        <f ca="1">calculations!AF171</f>
        <v>-0.41197928292100922</v>
      </c>
      <c r="M152" s="118">
        <f ca="1">calculations!AK171</f>
        <v>1.9055798352809723</v>
      </c>
      <c r="N152" s="112"/>
      <c r="O152" s="120"/>
      <c r="P152" s="121"/>
      <c r="Q152" s="121"/>
      <c r="R152" s="120"/>
      <c r="S152" s="120"/>
      <c r="T152" s="120"/>
      <c r="U152" s="120"/>
      <c r="V152" s="120"/>
      <c r="W152" s="120"/>
      <c r="X152" s="120"/>
      <c r="Y152" s="120"/>
      <c r="Z152" s="120"/>
      <c r="AA152" s="121"/>
      <c r="AB152" s="121"/>
      <c r="AC152" s="121"/>
      <c r="AD152" s="121"/>
      <c r="AE152" s="121"/>
      <c r="AF152" s="120"/>
      <c r="AG152" s="120"/>
      <c r="AH152" s="120"/>
      <c r="AI152" s="120"/>
      <c r="AJ152" s="120"/>
      <c r="AK152" s="122"/>
      <c r="AL152" s="119"/>
      <c r="AM152" s="119"/>
      <c r="AN152" s="119"/>
      <c r="AO152" s="119"/>
      <c r="AP152" s="119"/>
      <c r="AQ152" s="119"/>
      <c r="AR152" s="119"/>
      <c r="AS152" s="119"/>
      <c r="AT152" s="119"/>
      <c r="AU152" s="119"/>
      <c r="AV152" s="120"/>
    </row>
    <row r="153" spans="1:48" s="115" customFormat="1" ht="11.1" customHeight="1" x14ac:dyDescent="0.2">
      <c r="A153" s="112"/>
      <c r="B153" s="112"/>
      <c r="C153" s="112"/>
      <c r="D153" s="112"/>
      <c r="E153" s="114"/>
      <c r="F153" s="114"/>
      <c r="G153" s="114"/>
      <c r="H153" s="114"/>
      <c r="I153" s="114"/>
      <c r="K153" s="116">
        <f>calculations!AA172</f>
        <v>106</v>
      </c>
      <c r="L153" s="117">
        <f ca="1">calculations!AF172</f>
        <v>-0.44279582691337016</v>
      </c>
      <c r="M153" s="118">
        <f ca="1">calculations!AK172</f>
        <v>1.8917341703534198</v>
      </c>
      <c r="N153" s="112"/>
      <c r="O153" s="120"/>
      <c r="P153" s="121"/>
      <c r="Q153" s="121"/>
      <c r="R153" s="120"/>
      <c r="S153" s="120"/>
      <c r="T153" s="120"/>
      <c r="U153" s="120"/>
      <c r="V153" s="120"/>
      <c r="W153" s="120"/>
      <c r="X153" s="120"/>
      <c r="Y153" s="120"/>
      <c r="Z153" s="120"/>
      <c r="AA153" s="121"/>
      <c r="AB153" s="121"/>
      <c r="AC153" s="121"/>
      <c r="AD153" s="121"/>
      <c r="AE153" s="121"/>
      <c r="AF153" s="120"/>
      <c r="AG153" s="120"/>
      <c r="AH153" s="120"/>
      <c r="AI153" s="120"/>
      <c r="AJ153" s="120"/>
      <c r="AK153" s="122"/>
      <c r="AL153" s="119"/>
      <c r="AM153" s="119"/>
      <c r="AN153" s="119"/>
      <c r="AO153" s="119"/>
      <c r="AP153" s="119"/>
      <c r="AQ153" s="119"/>
      <c r="AR153" s="119"/>
      <c r="AS153" s="119"/>
      <c r="AT153" s="119"/>
      <c r="AU153" s="119"/>
      <c r="AV153" s="120"/>
    </row>
    <row r="154" spans="1:48" s="115" customFormat="1" ht="11.1" customHeight="1" x14ac:dyDescent="0.2">
      <c r="A154" s="112"/>
      <c r="B154" s="112"/>
      <c r="C154" s="112"/>
      <c r="D154" s="112"/>
      <c r="E154" s="114"/>
      <c r="F154" s="114"/>
      <c r="G154" s="114"/>
      <c r="H154" s="114"/>
      <c r="I154" s="114"/>
      <c r="K154" s="116">
        <f>calculations!AA173</f>
        <v>107</v>
      </c>
      <c r="L154" s="117">
        <f ca="1">calculations!AF173</f>
        <v>-0.47338292392748305</v>
      </c>
      <c r="M154" s="118">
        <f ca="1">calculations!AK173</f>
        <v>1.8770351104164871</v>
      </c>
      <c r="N154" s="112"/>
      <c r="O154" s="120"/>
      <c r="P154" s="121"/>
      <c r="Q154" s="121"/>
      <c r="R154" s="120"/>
      <c r="S154" s="120"/>
      <c r="T154" s="120"/>
      <c r="U154" s="120"/>
      <c r="V154" s="120"/>
      <c r="W154" s="120"/>
      <c r="X154" s="120"/>
      <c r="Y154" s="120"/>
      <c r="Z154" s="120"/>
      <c r="AA154" s="121"/>
      <c r="AB154" s="121"/>
      <c r="AC154" s="121"/>
      <c r="AD154" s="121"/>
      <c r="AE154" s="121"/>
      <c r="AF154" s="120"/>
      <c r="AG154" s="120"/>
      <c r="AH154" s="120"/>
      <c r="AI154" s="120"/>
      <c r="AJ154" s="120"/>
      <c r="AK154" s="122"/>
      <c r="AL154" s="119"/>
      <c r="AM154" s="119"/>
      <c r="AN154" s="119"/>
      <c r="AO154" s="119"/>
      <c r="AP154" s="119"/>
      <c r="AQ154" s="119"/>
      <c r="AR154" s="119"/>
      <c r="AS154" s="119"/>
      <c r="AT154" s="119"/>
      <c r="AU154" s="119"/>
      <c r="AV154" s="120"/>
    </row>
    <row r="155" spans="1:48" s="115" customFormat="1" ht="11.1" customHeight="1" x14ac:dyDescent="0.2">
      <c r="A155" s="112"/>
      <c r="B155" s="112"/>
      <c r="C155" s="112"/>
      <c r="D155" s="112"/>
      <c r="E155" s="114"/>
      <c r="F155" s="114"/>
      <c r="G155" s="114"/>
      <c r="H155" s="114"/>
      <c r="I155" s="114"/>
      <c r="K155" s="116">
        <f>calculations!AA174</f>
        <v>108</v>
      </c>
      <c r="L155" s="117">
        <f ca="1">calculations!AF174</f>
        <v>-0.50371589247354531</v>
      </c>
      <c r="M155" s="118">
        <f ca="1">calculations!AK174</f>
        <v>1.8614900568895141</v>
      </c>
      <c r="N155" s="112"/>
      <c r="O155" s="120"/>
      <c r="P155" s="121"/>
      <c r="Q155" s="121"/>
      <c r="R155" s="120"/>
      <c r="S155" s="120"/>
      <c r="T155" s="120"/>
      <c r="U155" s="120"/>
      <c r="V155" s="120"/>
      <c r="W155" s="120"/>
      <c r="X155" s="120"/>
      <c r="Y155" s="120"/>
      <c r="Z155" s="120"/>
      <c r="AA155" s="121"/>
      <c r="AB155" s="121"/>
      <c r="AC155" s="121"/>
      <c r="AD155" s="121"/>
      <c r="AE155" s="121"/>
      <c r="AF155" s="120"/>
      <c r="AG155" s="120"/>
      <c r="AH155" s="120"/>
      <c r="AI155" s="120"/>
      <c r="AJ155" s="120"/>
      <c r="AK155" s="122"/>
      <c r="AL155" s="119"/>
      <c r="AM155" s="119"/>
      <c r="AN155" s="119"/>
      <c r="AO155" s="119"/>
      <c r="AP155" s="119"/>
      <c r="AQ155" s="119"/>
      <c r="AR155" s="119"/>
      <c r="AS155" s="119"/>
      <c r="AT155" s="119"/>
      <c r="AU155" s="119"/>
      <c r="AV155" s="120"/>
    </row>
    <row r="156" spans="1:48" s="115" customFormat="1" ht="11.1" customHeight="1" x14ac:dyDescent="0.2">
      <c r="A156" s="112"/>
      <c r="B156" s="112"/>
      <c r="C156" s="112"/>
      <c r="D156" s="112"/>
      <c r="E156" s="114"/>
      <c r="F156" s="114"/>
      <c r="G156" s="114"/>
      <c r="H156" s="114"/>
      <c r="I156" s="114"/>
      <c r="K156" s="116">
        <f>calculations!AA175</f>
        <v>109</v>
      </c>
      <c r="L156" s="117">
        <f ca="1">calculations!AF175</f>
        <v>-0.53376924530183911</v>
      </c>
      <c r="M156" s="118">
        <f ca="1">calculations!AK175</f>
        <v>1.8451068371750905</v>
      </c>
      <c r="N156" s="112"/>
      <c r="O156" s="120"/>
      <c r="P156" s="121"/>
      <c r="Q156" s="121"/>
      <c r="R156" s="120"/>
      <c r="S156" s="120"/>
      <c r="T156" s="120"/>
      <c r="U156" s="120"/>
      <c r="V156" s="120"/>
      <c r="W156" s="120"/>
      <c r="X156" s="120"/>
      <c r="Y156" s="120"/>
      <c r="Z156" s="120"/>
      <c r="AA156" s="121"/>
      <c r="AB156" s="121"/>
      <c r="AC156" s="121"/>
      <c r="AD156" s="121"/>
      <c r="AE156" s="121"/>
      <c r="AF156" s="120"/>
      <c r="AG156" s="120"/>
      <c r="AH156" s="120"/>
      <c r="AI156" s="120"/>
      <c r="AJ156" s="120"/>
      <c r="AK156" s="122"/>
      <c r="AL156" s="119"/>
      <c r="AM156" s="119"/>
      <c r="AN156" s="119"/>
      <c r="AO156" s="119"/>
      <c r="AP156" s="119"/>
      <c r="AQ156" s="119"/>
      <c r="AR156" s="119"/>
      <c r="AS156" s="119"/>
      <c r="AT156" s="119"/>
      <c r="AU156" s="119"/>
      <c r="AV156" s="120"/>
    </row>
    <row r="157" spans="1:48" s="115" customFormat="1" ht="11.1" customHeight="1" x14ac:dyDescent="0.2">
      <c r="A157" s="112"/>
      <c r="B157" s="112"/>
      <c r="C157" s="112"/>
      <c r="D157" s="112"/>
      <c r="E157" s="114"/>
      <c r="F157" s="114"/>
      <c r="G157" s="114"/>
      <c r="H157" s="114"/>
      <c r="I157" s="114"/>
      <c r="K157" s="116">
        <f>calculations!AA176</f>
        <v>110</v>
      </c>
      <c r="L157" s="117">
        <f ca="1">calculations!AF176</f>
        <v>-0.56351671597953534</v>
      </c>
      <c r="M157" s="118">
        <f ca="1">calculations!AK176</f>
        <v>1.8278937007177234</v>
      </c>
      <c r="N157" s="112"/>
      <c r="O157" s="120"/>
      <c r="P157" s="121"/>
      <c r="Q157" s="121"/>
      <c r="R157" s="120"/>
      <c r="S157" s="120"/>
      <c r="T157" s="120"/>
      <c r="U157" s="120"/>
      <c r="V157" s="120"/>
      <c r="W157" s="120"/>
      <c r="X157" s="120"/>
      <c r="Y157" s="120"/>
      <c r="Z157" s="120"/>
      <c r="AA157" s="121"/>
      <c r="AB157" s="121"/>
      <c r="AC157" s="121"/>
      <c r="AD157" s="121"/>
      <c r="AE157" s="121"/>
      <c r="AF157" s="120"/>
      <c r="AG157" s="120"/>
      <c r="AH157" s="120"/>
      <c r="AI157" s="120"/>
      <c r="AJ157" s="120"/>
      <c r="AK157" s="122"/>
      <c r="AL157" s="119"/>
      <c r="AM157" s="119"/>
      <c r="AN157" s="119"/>
      <c r="AO157" s="119"/>
      <c r="AP157" s="119"/>
      <c r="AQ157" s="119"/>
      <c r="AR157" s="119"/>
      <c r="AS157" s="119"/>
      <c r="AT157" s="119"/>
      <c r="AU157" s="119"/>
      <c r="AV157" s="120"/>
    </row>
    <row r="158" spans="1:48" s="115" customFormat="1" ht="11.1" customHeight="1" x14ac:dyDescent="0.2">
      <c r="A158" s="112"/>
      <c r="B158" s="112"/>
      <c r="C158" s="112"/>
      <c r="D158" s="112"/>
      <c r="E158" s="114"/>
      <c r="F158" s="114"/>
      <c r="G158" s="114"/>
      <c r="H158" s="114"/>
      <c r="I158" s="114"/>
      <c r="K158" s="116">
        <f>calculations!AA177</f>
        <v>111</v>
      </c>
      <c r="L158" s="117">
        <f ca="1">calculations!AF177</f>
        <v>-0.59293128305080445</v>
      </c>
      <c r="M158" s="118">
        <f ca="1">calculations!AK177</f>
        <v>1.809859314849992</v>
      </c>
      <c r="N158" s="112"/>
      <c r="O158" s="120"/>
      <c r="P158" s="121"/>
      <c r="Q158" s="121"/>
      <c r="R158" s="120"/>
      <c r="S158" s="120"/>
      <c r="T158" s="120"/>
      <c r="U158" s="120"/>
      <c r="V158" s="120"/>
      <c r="W158" s="120"/>
      <c r="X158" s="120"/>
      <c r="Y158" s="120"/>
      <c r="Z158" s="120"/>
      <c r="AA158" s="121"/>
      <c r="AB158" s="121"/>
      <c r="AC158" s="121"/>
      <c r="AD158" s="121"/>
      <c r="AE158" s="121"/>
      <c r="AF158" s="120"/>
      <c r="AG158" s="120"/>
      <c r="AH158" s="120"/>
      <c r="AI158" s="120"/>
      <c r="AJ158" s="120"/>
      <c r="AK158" s="122"/>
      <c r="AL158" s="119"/>
      <c r="AM158" s="119"/>
      <c r="AN158" s="119"/>
      <c r="AO158" s="119"/>
      <c r="AP158" s="119"/>
      <c r="AQ158" s="119"/>
      <c r="AR158" s="119"/>
      <c r="AS158" s="119"/>
      <c r="AT158" s="119"/>
      <c r="AU158" s="119"/>
      <c r="AV158" s="120"/>
    </row>
    <row r="159" spans="1:48" s="115" customFormat="1" ht="11.1" customHeight="1" x14ac:dyDescent="0.2">
      <c r="A159" s="112"/>
      <c r="B159" s="112"/>
      <c r="C159" s="112"/>
      <c r="D159" s="112"/>
      <c r="E159" s="114"/>
      <c r="F159" s="114"/>
      <c r="G159" s="114"/>
      <c r="H159" s="114"/>
      <c r="I159" s="114"/>
      <c r="K159" s="116">
        <f>calculations!AA178</f>
        <v>112</v>
      </c>
      <c r="L159" s="117">
        <f ca="1">calculations!AF178</f>
        <v>-0.62198519212452108</v>
      </c>
      <c r="M159" s="118">
        <f ca="1">calculations!AK178</f>
        <v>1.7910127604282862</v>
      </c>
      <c r="N159" s="112"/>
      <c r="O159" s="120"/>
      <c r="P159" s="121"/>
      <c r="Q159" s="121"/>
      <c r="R159" s="120"/>
      <c r="S159" s="120"/>
      <c r="T159" s="120"/>
      <c r="U159" s="120"/>
      <c r="V159" s="120"/>
      <c r="W159" s="120"/>
      <c r="X159" s="120"/>
      <c r="Y159" s="120"/>
      <c r="Z159" s="120"/>
      <c r="AA159" s="121"/>
      <c r="AB159" s="121"/>
      <c r="AC159" s="121"/>
      <c r="AD159" s="121"/>
      <c r="AE159" s="121"/>
      <c r="AF159" s="120"/>
      <c r="AG159" s="120"/>
      <c r="AH159" s="120"/>
      <c r="AI159" s="120"/>
      <c r="AJ159" s="120"/>
      <c r="AK159" s="122"/>
      <c r="AL159" s="119"/>
      <c r="AM159" s="119"/>
      <c r="AN159" s="119"/>
      <c r="AO159" s="119"/>
      <c r="AP159" s="119"/>
      <c r="AQ159" s="119"/>
      <c r="AR159" s="119"/>
      <c r="AS159" s="119"/>
      <c r="AT159" s="119"/>
      <c r="AU159" s="119"/>
      <c r="AV159" s="120"/>
    </row>
    <row r="160" spans="1:48" s="115" customFormat="1" ht="11.1" customHeight="1" x14ac:dyDescent="0.2">
      <c r="A160" s="112"/>
      <c r="B160" s="112"/>
      <c r="C160" s="112"/>
      <c r="D160" s="112"/>
      <c r="E160" s="114"/>
      <c r="F160" s="114"/>
      <c r="G160" s="114"/>
      <c r="H160" s="114"/>
      <c r="I160" s="114"/>
      <c r="K160" s="116">
        <f>calculations!AA179</f>
        <v>113</v>
      </c>
      <c r="L160" s="117">
        <f ca="1">calculations!AF179</f>
        <v>-0.65064997616892783</v>
      </c>
      <c r="M160" s="118">
        <f ca="1">calculations!AK179</f>
        <v>1.7713635272603214</v>
      </c>
      <c r="N160" s="112"/>
      <c r="O160" s="120"/>
      <c r="P160" s="121"/>
      <c r="Q160" s="121"/>
      <c r="R160" s="120"/>
      <c r="S160" s="120"/>
      <c r="T160" s="120"/>
      <c r="U160" s="120"/>
      <c r="V160" s="120"/>
      <c r="W160" s="120"/>
      <c r="X160" s="120"/>
      <c r="Y160" s="120"/>
      <c r="Z160" s="120"/>
      <c r="AA160" s="121"/>
      <c r="AB160" s="121"/>
      <c r="AC160" s="121"/>
      <c r="AD160" s="121"/>
      <c r="AE160" s="121"/>
      <c r="AF160" s="120"/>
      <c r="AG160" s="120"/>
      <c r="AH160" s="120"/>
      <c r="AI160" s="120"/>
      <c r="AJ160" s="120"/>
      <c r="AK160" s="122"/>
      <c r="AL160" s="119"/>
      <c r="AM160" s="119"/>
      <c r="AN160" s="119"/>
      <c r="AO160" s="119"/>
      <c r="AP160" s="119"/>
      <c r="AQ160" s="119"/>
      <c r="AR160" s="119"/>
      <c r="AS160" s="119"/>
      <c r="AT160" s="119"/>
      <c r="AU160" s="119"/>
      <c r="AV160" s="120"/>
    </row>
    <row r="161" spans="1:55" s="115" customFormat="1" ht="11.1" customHeight="1" x14ac:dyDescent="0.2">
      <c r="A161" s="112"/>
      <c r="B161" s="112"/>
      <c r="C161" s="112"/>
      <c r="D161" s="112"/>
      <c r="E161" s="114"/>
      <c r="F161" s="114"/>
      <c r="G161" s="114"/>
      <c r="H161" s="114"/>
      <c r="I161" s="114"/>
      <c r="K161" s="116">
        <f>calculations!AA180</f>
        <v>114</v>
      </c>
      <c r="L161" s="117">
        <f ca="1">calculations!AF180</f>
        <v>-0.67889647424263244</v>
      </c>
      <c r="M161" s="118">
        <f ca="1">calculations!AK180</f>
        <v>1.7509215093267336</v>
      </c>
      <c r="N161" s="114"/>
      <c r="O161" s="120"/>
      <c r="P161" s="121"/>
      <c r="Q161" s="121"/>
      <c r="R161" s="120"/>
      <c r="S161" s="120"/>
      <c r="T161" s="120"/>
      <c r="U161" s="120"/>
      <c r="V161" s="120"/>
      <c r="W161" s="120"/>
      <c r="X161" s="120"/>
      <c r="Y161" s="120"/>
      <c r="Z161" s="120"/>
      <c r="AA161" s="121"/>
      <c r="AB161" s="121"/>
      <c r="AC161" s="121"/>
      <c r="AD161" s="121"/>
      <c r="AE161" s="121"/>
      <c r="AF161" s="120"/>
      <c r="AG161" s="120"/>
      <c r="AH161" s="120"/>
      <c r="AI161" s="120"/>
      <c r="AJ161" s="120"/>
      <c r="AK161" s="122"/>
      <c r="AL161" s="119"/>
      <c r="AM161" s="119"/>
      <c r="AN161" s="119"/>
      <c r="AO161" s="119"/>
      <c r="AP161" s="119"/>
      <c r="AQ161" s="119"/>
      <c r="AR161" s="119"/>
      <c r="AS161" s="119"/>
      <c r="AT161" s="119"/>
      <c r="AU161" s="119"/>
      <c r="AV161" s="120"/>
    </row>
    <row r="162" spans="1:55" s="115" customFormat="1" ht="11.1" customHeight="1" x14ac:dyDescent="0.2">
      <c r="A162" s="112"/>
      <c r="B162" s="112"/>
      <c r="C162" s="112"/>
      <c r="D162" s="112"/>
      <c r="E162" s="114"/>
      <c r="F162" s="114"/>
      <c r="G162" s="114"/>
      <c r="H162" s="114"/>
      <c r="I162" s="114"/>
      <c r="J162" s="112"/>
      <c r="K162" s="116">
        <f>calculations!AA181</f>
        <v>115</v>
      </c>
      <c r="L162" s="117">
        <f ca="1">calculations!AF181</f>
        <v>-0.70669484885227241</v>
      </c>
      <c r="M162" s="118">
        <f ca="1">calculations!AK181</f>
        <v>1.7296969997991634</v>
      </c>
      <c r="N162" s="114"/>
      <c r="O162" s="114"/>
      <c r="P162" s="114"/>
      <c r="T162" s="112"/>
      <c r="U162" s="112"/>
      <c r="V162" s="120"/>
      <c r="W162" s="121"/>
      <c r="X162" s="121"/>
      <c r="Y162" s="120"/>
      <c r="Z162" s="120"/>
      <c r="AA162" s="120"/>
      <c r="AB162" s="120"/>
      <c r="AC162" s="120"/>
      <c r="AD162" s="120"/>
      <c r="AE162" s="120"/>
      <c r="AF162" s="120"/>
      <c r="AG162" s="120"/>
      <c r="AH162" s="121"/>
      <c r="AI162" s="121"/>
      <c r="AJ162" s="121"/>
      <c r="AK162" s="121"/>
      <c r="AL162" s="121"/>
      <c r="AM162" s="120"/>
      <c r="AN162" s="120"/>
      <c r="AO162" s="120"/>
      <c r="AP162" s="120"/>
      <c r="AQ162" s="120"/>
      <c r="AR162" s="122"/>
      <c r="AS162" s="119"/>
      <c r="AT162" s="119"/>
      <c r="AU162" s="119"/>
      <c r="AV162" s="119"/>
      <c r="AW162" s="119"/>
      <c r="AX162" s="119"/>
      <c r="AY162" s="119"/>
      <c r="AZ162" s="119"/>
      <c r="BA162" s="119"/>
      <c r="BB162" s="119"/>
      <c r="BC162" s="120"/>
    </row>
    <row r="163" spans="1:55" s="115" customFormat="1" ht="11.1" customHeight="1" x14ac:dyDescent="0.2">
      <c r="A163" s="112"/>
      <c r="B163" s="112"/>
      <c r="C163" s="112"/>
      <c r="D163" s="112"/>
      <c r="E163" s="112"/>
      <c r="F163" s="112"/>
      <c r="G163" s="112"/>
      <c r="H163" s="112"/>
      <c r="I163" s="112"/>
      <c r="J163" s="112"/>
      <c r="K163" s="116">
        <f>calculations!AA182</f>
        <v>116</v>
      </c>
      <c r="L163" s="117">
        <f ca="1">calculations!AF182</f>
        <v>-0.73401460209627489</v>
      </c>
      <c r="M163" s="118">
        <f ca="1">calculations!AK182</f>
        <v>1.707700685857334</v>
      </c>
      <c r="N163" s="114"/>
      <c r="O163" s="114"/>
      <c r="P163" s="114"/>
      <c r="T163" s="112"/>
      <c r="U163" s="112"/>
      <c r="V163" s="120"/>
      <c r="W163" s="121"/>
      <c r="X163" s="121"/>
      <c r="Y163" s="120"/>
      <c r="Z163" s="120"/>
      <c r="AA163" s="120"/>
      <c r="AB163" s="120"/>
      <c r="AC163" s="120"/>
      <c r="AD163" s="120"/>
      <c r="AE163" s="120"/>
      <c r="AF163" s="120"/>
      <c r="AG163" s="120"/>
      <c r="AH163" s="121"/>
      <c r="AI163" s="121"/>
      <c r="AJ163" s="121"/>
      <c r="AK163" s="121"/>
      <c r="AL163" s="121"/>
      <c r="AM163" s="120"/>
      <c r="AN163" s="120"/>
      <c r="AO163" s="120"/>
      <c r="AP163" s="120"/>
      <c r="AQ163" s="120"/>
      <c r="AR163" s="122"/>
      <c r="AS163" s="119"/>
      <c r="AT163" s="119"/>
      <c r="AU163" s="119"/>
      <c r="AV163" s="119"/>
      <c r="AW163" s="119"/>
      <c r="AX163" s="119"/>
      <c r="AY163" s="119"/>
      <c r="AZ163" s="119"/>
      <c r="BA163" s="119"/>
      <c r="BB163" s="119"/>
      <c r="BC163" s="120"/>
    </row>
    <row r="164" spans="1:55" s="115" customFormat="1" ht="11.1" customHeight="1" x14ac:dyDescent="0.2">
      <c r="A164" s="112"/>
      <c r="B164" s="112"/>
      <c r="C164" s="112"/>
      <c r="D164" s="112"/>
      <c r="E164" s="112"/>
      <c r="F164" s="112"/>
      <c r="G164" s="112"/>
      <c r="H164" s="112"/>
      <c r="I164" s="112"/>
      <c r="J164" s="112"/>
      <c r="K164" s="116">
        <f>calculations!AA183</f>
        <v>117</v>
      </c>
      <c r="L164" s="117">
        <f ca="1">calculations!AF183</f>
        <v>-0.76082459072941278</v>
      </c>
      <c r="M164" s="118">
        <f ca="1">calculations!AK183</f>
        <v>1.6849436433077341</v>
      </c>
      <c r="N164" s="114"/>
      <c r="O164" s="114"/>
      <c r="P164" s="114"/>
      <c r="T164" s="112"/>
      <c r="U164" s="112"/>
      <c r="V164" s="120"/>
      <c r="W164" s="121"/>
      <c r="X164" s="121"/>
      <c r="Y164" s="120"/>
      <c r="Z164" s="120"/>
      <c r="AA164" s="120"/>
      <c r="AB164" s="120"/>
      <c r="AC164" s="120"/>
      <c r="AD164" s="120"/>
      <c r="AE164" s="120"/>
      <c r="AF164" s="120"/>
      <c r="AG164" s="120"/>
      <c r="AH164" s="121"/>
      <c r="AI164" s="121"/>
      <c r="AJ164" s="121"/>
      <c r="AK164" s="121"/>
      <c r="AL164" s="121"/>
      <c r="AM164" s="120"/>
      <c r="AN164" s="120"/>
      <c r="AO164" s="120"/>
      <c r="AP164" s="120"/>
      <c r="AQ164" s="120"/>
      <c r="AR164" s="122"/>
      <c r="AS164" s="119"/>
      <c r="AT164" s="119"/>
      <c r="AU164" s="119"/>
      <c r="AV164" s="119"/>
      <c r="AW164" s="119"/>
      <c r="AX164" s="119"/>
      <c r="AY164" s="119"/>
      <c r="AZ164" s="119"/>
      <c r="BA164" s="119"/>
      <c r="BB164" s="119"/>
      <c r="BC164" s="120"/>
    </row>
    <row r="165" spans="1:55" s="115" customFormat="1" ht="11.1" customHeight="1" x14ac:dyDescent="0.2">
      <c r="A165" s="112"/>
      <c r="B165" s="112"/>
      <c r="C165" s="112"/>
      <c r="D165" s="112"/>
      <c r="E165" s="112"/>
      <c r="F165" s="112"/>
      <c r="G165" s="112"/>
      <c r="H165" s="112"/>
      <c r="I165" s="112"/>
      <c r="J165" s="112"/>
      <c r="K165" s="116">
        <f>calculations!AA184</f>
        <v>118</v>
      </c>
      <c r="L165" s="117">
        <f ca="1">calculations!AF184</f>
        <v>-0.78709304026283711</v>
      </c>
      <c r="M165" s="118">
        <f ca="1">calculations!AK184</f>
        <v>1.6614373310066148</v>
      </c>
      <c r="N165" s="114"/>
      <c r="O165" s="114"/>
      <c r="P165" s="114"/>
      <c r="T165" s="112"/>
      <c r="U165" s="112"/>
      <c r="V165" s="120"/>
      <c r="W165" s="121"/>
      <c r="X165" s="121"/>
      <c r="Y165" s="120"/>
      <c r="Z165" s="120"/>
      <c r="AA165" s="120"/>
      <c r="AB165" s="120"/>
      <c r="AC165" s="120"/>
      <c r="AD165" s="120"/>
      <c r="AE165" s="120"/>
      <c r="AF165" s="120"/>
      <c r="AG165" s="120"/>
      <c r="AH165" s="121"/>
      <c r="AI165" s="121"/>
      <c r="AJ165" s="121"/>
      <c r="AK165" s="121"/>
      <c r="AL165" s="121"/>
      <c r="AM165" s="120"/>
      <c r="AN165" s="120"/>
      <c r="AO165" s="120"/>
      <c r="AP165" s="120"/>
      <c r="AQ165" s="120"/>
      <c r="AR165" s="122"/>
      <c r="AS165" s="119"/>
      <c r="AT165" s="119"/>
      <c r="AU165" s="119"/>
      <c r="AV165" s="119"/>
      <c r="AW165" s="119"/>
      <c r="AX165" s="119"/>
      <c r="AY165" s="119"/>
      <c r="AZ165" s="119"/>
      <c r="BA165" s="119"/>
      <c r="BB165" s="119"/>
      <c r="BC165" s="120"/>
    </row>
    <row r="166" spans="1:55" s="115" customFormat="1" ht="11.1" customHeight="1" x14ac:dyDescent="0.2">
      <c r="A166" s="112"/>
      <c r="B166" s="112"/>
      <c r="C166" s="112"/>
      <c r="D166" s="112"/>
      <c r="E166" s="112"/>
      <c r="F166" s="112"/>
      <c r="G166" s="112"/>
      <c r="H166" s="112"/>
      <c r="I166" s="112"/>
      <c r="J166" s="112"/>
      <c r="K166" s="116">
        <f>calculations!AA185</f>
        <v>119</v>
      </c>
      <c r="L166" s="117">
        <f ca="1">calculations!AF185</f>
        <v>-0.81278755819792381</v>
      </c>
      <c r="M166" s="118">
        <f ca="1">calculations!AK185</f>
        <v>1.6371935850901127</v>
      </c>
      <c r="N166" s="114"/>
      <c r="O166" s="114"/>
      <c r="P166" s="114"/>
      <c r="T166" s="112"/>
      <c r="U166" s="112"/>
      <c r="V166" s="120"/>
      <c r="W166" s="121"/>
      <c r="X166" s="121"/>
      <c r="Y166" s="120"/>
      <c r="Z166" s="120"/>
      <c r="AA166" s="120"/>
      <c r="AB166" s="120"/>
      <c r="AC166" s="120"/>
      <c r="AD166" s="120"/>
      <c r="AE166" s="120"/>
      <c r="AF166" s="120"/>
      <c r="AG166" s="120"/>
      <c r="AH166" s="121"/>
      <c r="AI166" s="121"/>
      <c r="AJ166" s="121"/>
      <c r="AK166" s="121"/>
      <c r="AL166" s="121"/>
      <c r="AM166" s="120"/>
      <c r="AN166" s="120"/>
      <c r="AO166" s="120"/>
      <c r="AP166" s="120"/>
      <c r="AQ166" s="120"/>
      <c r="AR166" s="122"/>
      <c r="AS166" s="119"/>
      <c r="AT166" s="119"/>
      <c r="AU166" s="119"/>
      <c r="AV166" s="119"/>
      <c r="AW166" s="119"/>
      <c r="AX166" s="119"/>
      <c r="AY166" s="119"/>
      <c r="AZ166" s="119"/>
      <c r="BA166" s="119"/>
      <c r="BB166" s="119"/>
      <c r="BC166" s="120"/>
    </row>
    <row r="167" spans="1:55" s="115" customFormat="1" ht="11.1" customHeight="1" x14ac:dyDescent="0.2">
      <c r="A167" s="112"/>
      <c r="B167" s="112"/>
      <c r="C167" s="112"/>
      <c r="D167" s="112"/>
      <c r="E167" s="112"/>
      <c r="F167" s="112"/>
      <c r="G167" s="112"/>
      <c r="H167" s="112"/>
      <c r="I167" s="112"/>
      <c r="J167" s="112"/>
      <c r="K167" s="116">
        <f>calculations!AA186</f>
        <v>120</v>
      </c>
      <c r="L167" s="117">
        <f ca="1">calculations!AF186</f>
        <v>-0.83787514647880335</v>
      </c>
      <c r="M167" s="118">
        <f ca="1">calculations!AK186</f>
        <v>1.6122246130143965</v>
      </c>
      <c r="N167" s="114"/>
      <c r="O167" s="114"/>
      <c r="P167" s="114"/>
      <c r="T167" s="112"/>
      <c r="U167" s="112"/>
      <c r="V167" s="120"/>
      <c r="W167" s="121"/>
      <c r="X167" s="121"/>
      <c r="Y167" s="120"/>
      <c r="Z167" s="120"/>
      <c r="AA167" s="120"/>
      <c r="AB167" s="120"/>
      <c r="AC167" s="120"/>
      <c r="AD167" s="120"/>
      <c r="AE167" s="120"/>
      <c r="AF167" s="120"/>
      <c r="AG167" s="120"/>
      <c r="AH167" s="121"/>
      <c r="AI167" s="121"/>
      <c r="AJ167" s="121"/>
      <c r="AK167" s="121"/>
      <c r="AL167" s="121"/>
      <c r="AM167" s="120"/>
      <c r="AN167" s="120"/>
      <c r="AO167" s="120"/>
      <c r="AP167" s="120"/>
      <c r="AQ167" s="120"/>
      <c r="AR167" s="122"/>
      <c r="AS167" s="119"/>
      <c r="AT167" s="119"/>
      <c r="AU167" s="119"/>
      <c r="AV167" s="119"/>
      <c r="AW167" s="119"/>
      <c r="AX167" s="119"/>
      <c r="AY167" s="119"/>
      <c r="AZ167" s="119"/>
      <c r="BA167" s="119"/>
      <c r="BB167" s="119"/>
      <c r="BC167" s="120"/>
    </row>
    <row r="168" spans="1:55" s="115" customFormat="1" ht="11.1" customHeight="1" x14ac:dyDescent="0.2">
      <c r="A168" s="112"/>
      <c r="B168" s="112"/>
      <c r="C168" s="112"/>
      <c r="D168" s="112"/>
      <c r="E168" s="112"/>
      <c r="F168" s="112"/>
      <c r="G168" s="112"/>
      <c r="H168" s="112"/>
      <c r="I168" s="112"/>
      <c r="J168" s="112"/>
      <c r="K168" s="116"/>
      <c r="L168" s="117"/>
      <c r="M168" s="118"/>
      <c r="N168" s="114"/>
      <c r="O168" s="114"/>
      <c r="P168" s="114"/>
      <c r="T168" s="112"/>
      <c r="U168" s="112"/>
      <c r="V168" s="120"/>
      <c r="W168" s="121"/>
      <c r="X168" s="121"/>
      <c r="Y168" s="120"/>
      <c r="Z168" s="120"/>
      <c r="AA168" s="120"/>
      <c r="AB168" s="120"/>
      <c r="AC168" s="120"/>
      <c r="AD168" s="120"/>
      <c r="AE168" s="120"/>
      <c r="AF168" s="120"/>
      <c r="AG168" s="120"/>
      <c r="AH168" s="121"/>
      <c r="AI168" s="121"/>
      <c r="AJ168" s="121"/>
      <c r="AK168" s="121"/>
      <c r="AL168" s="121"/>
      <c r="AM168" s="120"/>
      <c r="AN168" s="120"/>
      <c r="AO168" s="120"/>
      <c r="AP168" s="120"/>
      <c r="AQ168" s="120"/>
      <c r="AR168" s="122"/>
      <c r="AS168" s="119"/>
      <c r="AT168" s="119"/>
      <c r="AU168" s="119"/>
      <c r="AV168" s="119"/>
      <c r="AW168" s="119"/>
      <c r="AX168" s="119"/>
      <c r="AY168" s="119"/>
      <c r="AZ168" s="119"/>
      <c r="BA168" s="119"/>
      <c r="BB168" s="119"/>
      <c r="BC168" s="120"/>
    </row>
    <row r="169" spans="1:55" s="115" customFormat="1" ht="11.1" customHeight="1" x14ac:dyDescent="0.2">
      <c r="A169" s="112"/>
      <c r="B169" s="112"/>
      <c r="C169" s="112"/>
      <c r="D169" s="112"/>
      <c r="E169" s="112"/>
      <c r="F169" s="112"/>
      <c r="G169" s="112"/>
      <c r="H169" s="112"/>
      <c r="I169" s="112"/>
      <c r="J169" s="112"/>
      <c r="K169" s="116"/>
      <c r="L169" s="117"/>
      <c r="M169" s="118"/>
      <c r="N169" s="114"/>
      <c r="O169" s="114"/>
      <c r="P169" s="114"/>
      <c r="T169" s="112"/>
      <c r="U169" s="112"/>
      <c r="V169" s="120"/>
      <c r="W169" s="121"/>
      <c r="X169" s="121"/>
      <c r="Y169" s="120"/>
      <c r="Z169" s="120"/>
      <c r="AA169" s="120"/>
      <c r="AB169" s="120"/>
      <c r="AC169" s="120"/>
      <c r="AD169" s="120"/>
      <c r="AE169" s="120"/>
      <c r="AF169" s="120"/>
      <c r="AG169" s="120"/>
      <c r="AH169" s="121"/>
      <c r="AI169" s="121"/>
      <c r="AJ169" s="121"/>
      <c r="AK169" s="121"/>
      <c r="AL169" s="121"/>
      <c r="AM169" s="120"/>
      <c r="AN169" s="120"/>
      <c r="AO169" s="120"/>
      <c r="AP169" s="120"/>
      <c r="AQ169" s="120"/>
      <c r="AR169" s="122"/>
      <c r="AS169" s="119"/>
      <c r="AT169" s="119"/>
      <c r="AU169" s="119"/>
      <c r="AV169" s="119"/>
      <c r="AW169" s="119"/>
      <c r="AX169" s="119"/>
      <c r="AY169" s="119"/>
      <c r="AZ169" s="119"/>
      <c r="BA169" s="119"/>
      <c r="BB169" s="119"/>
      <c r="BC169" s="120"/>
    </row>
    <row r="170" spans="1:55" s="115" customFormat="1" ht="11.1" customHeight="1" x14ac:dyDescent="0.2">
      <c r="A170" s="112"/>
      <c r="B170" s="112"/>
      <c r="C170" s="112"/>
      <c r="D170" s="112"/>
      <c r="E170" s="112"/>
      <c r="F170" s="112"/>
      <c r="G170" s="112"/>
      <c r="H170" s="112"/>
      <c r="I170" s="112"/>
      <c r="J170" s="112"/>
      <c r="K170" s="116"/>
      <c r="L170" s="117"/>
      <c r="M170" s="118"/>
      <c r="N170" s="114"/>
      <c r="O170" s="114"/>
      <c r="P170" s="114"/>
      <c r="T170" s="112"/>
      <c r="U170" s="112"/>
      <c r="V170" s="120"/>
      <c r="W170" s="121"/>
      <c r="X170" s="121"/>
      <c r="Y170" s="120"/>
      <c r="Z170" s="120"/>
      <c r="AA170" s="120"/>
      <c r="AB170" s="120"/>
      <c r="AC170" s="120"/>
      <c r="AD170" s="120"/>
      <c r="AE170" s="120"/>
      <c r="AF170" s="120"/>
      <c r="AG170" s="120"/>
      <c r="AH170" s="121"/>
      <c r="AI170" s="121"/>
      <c r="AJ170" s="121"/>
      <c r="AK170" s="121"/>
      <c r="AL170" s="121"/>
      <c r="AM170" s="120"/>
      <c r="AN170" s="120"/>
      <c r="AO170" s="120"/>
      <c r="AP170" s="120"/>
      <c r="AQ170" s="120"/>
      <c r="AR170" s="122"/>
      <c r="AS170" s="119"/>
      <c r="AT170" s="119"/>
      <c r="AU170" s="119"/>
      <c r="AV170" s="119"/>
      <c r="AW170" s="119"/>
      <c r="AX170" s="119"/>
      <c r="AY170" s="119"/>
      <c r="AZ170" s="119"/>
      <c r="BA170" s="119"/>
      <c r="BB170" s="119"/>
      <c r="BC170" s="120"/>
    </row>
    <row r="171" spans="1:55" s="115" customFormat="1" ht="11.1" customHeight="1" x14ac:dyDescent="0.2">
      <c r="A171" s="112"/>
      <c r="B171" s="112"/>
      <c r="C171" s="112"/>
      <c r="D171" s="112"/>
      <c r="E171" s="112"/>
      <c r="F171" s="112"/>
      <c r="G171" s="112"/>
      <c r="H171" s="112"/>
      <c r="I171" s="112"/>
      <c r="J171" s="112"/>
      <c r="K171" s="116"/>
      <c r="L171" s="117"/>
      <c r="M171" s="118"/>
      <c r="N171" s="114"/>
      <c r="O171" s="114"/>
      <c r="P171" s="114"/>
      <c r="T171" s="112"/>
      <c r="U171" s="112"/>
      <c r="V171" s="120"/>
      <c r="W171" s="121"/>
      <c r="X171" s="121"/>
      <c r="Y171" s="120"/>
      <c r="Z171" s="120"/>
      <c r="AA171" s="120"/>
      <c r="AB171" s="120"/>
      <c r="AC171" s="120"/>
      <c r="AD171" s="120"/>
      <c r="AE171" s="120"/>
      <c r="AF171" s="120"/>
      <c r="AG171" s="120"/>
      <c r="AH171" s="121"/>
      <c r="AI171" s="121"/>
      <c r="AJ171" s="121"/>
      <c r="AK171" s="121"/>
      <c r="AL171" s="121"/>
      <c r="AM171" s="120"/>
      <c r="AN171" s="120"/>
      <c r="AO171" s="120"/>
      <c r="AP171" s="120"/>
      <c r="AQ171" s="120"/>
      <c r="AR171" s="122"/>
      <c r="AS171" s="119"/>
      <c r="AT171" s="119"/>
      <c r="AU171" s="119"/>
      <c r="AV171" s="119"/>
      <c r="AW171" s="119"/>
      <c r="AX171" s="119"/>
      <c r="AY171" s="119"/>
      <c r="AZ171" s="119"/>
      <c r="BA171" s="119"/>
      <c r="BB171" s="119"/>
      <c r="BC171" s="120"/>
    </row>
    <row r="172" spans="1:55" s="115" customFormat="1" ht="11.1" customHeight="1" x14ac:dyDescent="0.2">
      <c r="A172" s="112"/>
      <c r="B172" s="112"/>
      <c r="C172" s="112"/>
      <c r="D172" s="112"/>
      <c r="E172" s="112"/>
      <c r="F172" s="112"/>
      <c r="G172" s="112"/>
      <c r="H172" s="112"/>
      <c r="I172" s="112"/>
      <c r="J172" s="112"/>
      <c r="K172" s="116"/>
      <c r="L172" s="117"/>
      <c r="M172" s="118"/>
      <c r="N172" s="114"/>
      <c r="O172" s="114"/>
      <c r="P172" s="114"/>
      <c r="T172" s="112"/>
      <c r="U172" s="112"/>
      <c r="V172" s="120"/>
      <c r="W172" s="121"/>
      <c r="X172" s="121"/>
      <c r="Y172" s="120"/>
      <c r="Z172" s="120"/>
      <c r="AA172" s="120"/>
      <c r="AB172" s="120"/>
      <c r="AC172" s="120"/>
      <c r="AD172" s="120"/>
      <c r="AE172" s="120"/>
      <c r="AF172" s="120"/>
      <c r="AG172" s="120"/>
      <c r="AH172" s="121"/>
      <c r="AI172" s="121"/>
      <c r="AJ172" s="121"/>
      <c r="AK172" s="121"/>
      <c r="AL172" s="121"/>
      <c r="AM172" s="120"/>
      <c r="AN172" s="120"/>
      <c r="AO172" s="120"/>
      <c r="AP172" s="120"/>
      <c r="AQ172" s="120"/>
      <c r="AR172" s="122"/>
      <c r="AS172" s="119"/>
      <c r="AT172" s="119"/>
      <c r="AU172" s="119"/>
      <c r="AV172" s="119"/>
      <c r="AW172" s="119"/>
      <c r="AX172" s="119"/>
      <c r="AY172" s="119"/>
      <c r="AZ172" s="119"/>
      <c r="BA172" s="119"/>
      <c r="BB172" s="119"/>
      <c r="BC172" s="120"/>
    </row>
    <row r="173" spans="1:55" s="115" customFormat="1" ht="11.1" customHeight="1" x14ac:dyDescent="0.2">
      <c r="A173" s="112"/>
      <c r="B173" s="112"/>
      <c r="C173" s="112"/>
      <c r="D173" s="112"/>
      <c r="E173" s="112"/>
      <c r="F173" s="112"/>
      <c r="G173" s="112"/>
      <c r="H173" s="112"/>
      <c r="I173" s="112"/>
      <c r="J173" s="112"/>
      <c r="K173" s="116"/>
      <c r="L173" s="117"/>
      <c r="M173" s="118"/>
      <c r="N173" s="114"/>
      <c r="O173" s="114"/>
      <c r="P173" s="114"/>
      <c r="T173" s="112"/>
      <c r="U173" s="112"/>
      <c r="V173" s="120"/>
      <c r="W173" s="121"/>
      <c r="X173" s="121"/>
      <c r="Y173" s="120"/>
      <c r="Z173" s="120"/>
      <c r="AA173" s="120"/>
      <c r="AB173" s="120"/>
      <c r="AC173" s="120"/>
      <c r="AD173" s="120"/>
      <c r="AE173" s="120"/>
      <c r="AF173" s="120"/>
      <c r="AG173" s="120"/>
      <c r="AH173" s="121"/>
      <c r="AI173" s="121"/>
      <c r="AJ173" s="121"/>
      <c r="AK173" s="121"/>
      <c r="AL173" s="121"/>
      <c r="AM173" s="120"/>
      <c r="AN173" s="120"/>
      <c r="AO173" s="120"/>
      <c r="AP173" s="120"/>
      <c r="AQ173" s="120"/>
      <c r="AR173" s="122"/>
      <c r="AS173" s="119"/>
      <c r="AT173" s="119"/>
      <c r="AU173" s="119"/>
      <c r="AV173" s="119"/>
      <c r="AW173" s="119"/>
      <c r="AX173" s="119"/>
      <c r="AY173" s="119"/>
      <c r="AZ173" s="119"/>
      <c r="BA173" s="119"/>
      <c r="BB173" s="119"/>
      <c r="BC173" s="120"/>
    </row>
    <row r="174" spans="1:55" s="115" customFormat="1" ht="11.1" customHeight="1" x14ac:dyDescent="0.2">
      <c r="A174" s="112"/>
      <c r="B174" s="112"/>
      <c r="C174" s="112"/>
      <c r="D174" s="112"/>
      <c r="E174" s="112"/>
      <c r="F174" s="112"/>
      <c r="G174" s="112"/>
      <c r="H174" s="112"/>
      <c r="I174" s="112"/>
      <c r="J174" s="112"/>
      <c r="K174" s="116"/>
      <c r="L174" s="117"/>
      <c r="M174" s="118"/>
      <c r="N174" s="114"/>
      <c r="O174" s="114"/>
      <c r="P174" s="114"/>
      <c r="T174" s="112"/>
      <c r="U174" s="112"/>
      <c r="V174" s="120"/>
      <c r="W174" s="121"/>
      <c r="X174" s="121"/>
      <c r="Y174" s="120"/>
      <c r="Z174" s="120"/>
      <c r="AA174" s="120"/>
      <c r="AB174" s="120"/>
      <c r="AC174" s="120"/>
      <c r="AD174" s="120"/>
      <c r="AE174" s="120"/>
      <c r="AF174" s="120"/>
      <c r="AG174" s="120"/>
      <c r="AH174" s="121"/>
      <c r="AI174" s="121"/>
      <c r="AJ174" s="121"/>
      <c r="AK174" s="121"/>
      <c r="AL174" s="121"/>
      <c r="AM174" s="120"/>
      <c r="AN174" s="120"/>
      <c r="AO174" s="120"/>
      <c r="AP174" s="120"/>
      <c r="AQ174" s="120"/>
      <c r="AR174" s="122"/>
      <c r="AS174" s="119"/>
      <c r="AT174" s="119"/>
      <c r="AU174" s="119"/>
      <c r="AV174" s="119"/>
      <c r="AW174" s="119"/>
      <c r="AX174" s="119"/>
      <c r="AY174" s="119"/>
      <c r="AZ174" s="119"/>
      <c r="BA174" s="119"/>
      <c r="BB174" s="119"/>
      <c r="BC174" s="120"/>
    </row>
    <row r="175" spans="1:55" s="115" customFormat="1" ht="11.1" customHeight="1" x14ac:dyDescent="0.2">
      <c r="A175" s="112"/>
      <c r="B175" s="112"/>
      <c r="C175" s="112"/>
      <c r="D175" s="112"/>
      <c r="E175" s="112"/>
      <c r="F175" s="112"/>
      <c r="G175" s="112"/>
      <c r="H175" s="112"/>
      <c r="I175" s="112"/>
      <c r="J175" s="112"/>
      <c r="K175" s="116"/>
      <c r="L175" s="117"/>
      <c r="M175" s="118"/>
      <c r="N175" s="114"/>
      <c r="O175" s="114"/>
      <c r="P175" s="114"/>
      <c r="T175" s="112"/>
      <c r="U175" s="112"/>
      <c r="V175" s="120"/>
      <c r="W175" s="121"/>
      <c r="X175" s="121"/>
      <c r="Y175" s="120"/>
      <c r="Z175" s="120"/>
      <c r="AA175" s="120"/>
      <c r="AB175" s="120"/>
      <c r="AC175" s="120"/>
      <c r="AD175" s="120"/>
      <c r="AE175" s="120"/>
      <c r="AF175" s="120"/>
      <c r="AG175" s="120"/>
      <c r="AH175" s="121"/>
      <c r="AI175" s="121"/>
      <c r="AJ175" s="121"/>
      <c r="AK175" s="121"/>
      <c r="AL175" s="121"/>
      <c r="AM175" s="120"/>
      <c r="AN175" s="120"/>
      <c r="AO175" s="120"/>
      <c r="AP175" s="120"/>
      <c r="AQ175" s="120"/>
      <c r="AR175" s="122"/>
      <c r="AS175" s="119"/>
      <c r="AT175" s="119"/>
      <c r="AU175" s="119"/>
      <c r="AV175" s="119"/>
      <c r="AW175" s="119"/>
      <c r="AX175" s="119"/>
      <c r="AY175" s="119"/>
      <c r="AZ175" s="119"/>
      <c r="BA175" s="119"/>
      <c r="BB175" s="119"/>
      <c r="BC175" s="120"/>
    </row>
    <row r="176" spans="1:55" s="115" customFormat="1" ht="11.1" customHeight="1" x14ac:dyDescent="0.2">
      <c r="A176" s="112"/>
      <c r="B176" s="112"/>
      <c r="C176" s="112"/>
      <c r="D176" s="112"/>
      <c r="E176" s="112"/>
      <c r="F176" s="112"/>
      <c r="G176" s="112"/>
      <c r="H176" s="112"/>
      <c r="I176" s="112"/>
      <c r="J176" s="112"/>
      <c r="K176" s="116"/>
      <c r="L176" s="117"/>
      <c r="M176" s="118"/>
      <c r="N176" s="114"/>
      <c r="O176" s="114"/>
      <c r="P176" s="114"/>
      <c r="T176" s="112"/>
      <c r="U176" s="112"/>
      <c r="V176" s="120"/>
      <c r="W176" s="121"/>
      <c r="X176" s="121"/>
      <c r="Y176" s="120"/>
      <c r="Z176" s="120"/>
      <c r="AA176" s="120"/>
      <c r="AB176" s="120"/>
      <c r="AC176" s="120"/>
      <c r="AD176" s="120"/>
      <c r="AE176" s="120"/>
      <c r="AF176" s="120"/>
      <c r="AG176" s="120"/>
      <c r="AH176" s="121"/>
      <c r="AI176" s="121"/>
      <c r="AJ176" s="121"/>
      <c r="AK176" s="121"/>
      <c r="AL176" s="121"/>
      <c r="AM176" s="120"/>
      <c r="AN176" s="120"/>
      <c r="AO176" s="120"/>
      <c r="AP176" s="120"/>
      <c r="AQ176" s="120"/>
      <c r="AR176" s="122"/>
      <c r="AS176" s="119"/>
      <c r="AT176" s="119"/>
      <c r="AU176" s="119"/>
      <c r="AV176" s="119"/>
      <c r="AW176" s="119"/>
      <c r="AX176" s="119"/>
      <c r="AY176" s="119"/>
      <c r="AZ176" s="119"/>
      <c r="BA176" s="119"/>
      <c r="BB176" s="119"/>
      <c r="BC176" s="120"/>
    </row>
    <row r="177" spans="1:55" s="115" customFormat="1" ht="11.1" customHeight="1" x14ac:dyDescent="0.2">
      <c r="A177" s="112"/>
      <c r="B177" s="112"/>
      <c r="C177" s="112"/>
      <c r="D177" s="112"/>
      <c r="E177" s="112"/>
      <c r="F177" s="112"/>
      <c r="G177" s="112"/>
      <c r="H177" s="112"/>
      <c r="I177" s="112"/>
      <c r="J177" s="112"/>
      <c r="K177" s="116"/>
      <c r="L177" s="117"/>
      <c r="M177" s="118"/>
      <c r="N177" s="114"/>
      <c r="O177" s="114"/>
      <c r="P177" s="114"/>
      <c r="T177" s="112"/>
      <c r="U177" s="112"/>
      <c r="V177" s="120"/>
      <c r="W177" s="121"/>
      <c r="X177" s="121"/>
      <c r="Y177" s="120"/>
      <c r="Z177" s="120"/>
      <c r="AA177" s="120"/>
      <c r="AB177" s="120"/>
      <c r="AC177" s="120"/>
      <c r="AD177" s="120"/>
      <c r="AE177" s="120"/>
      <c r="AF177" s="120"/>
      <c r="AG177" s="120"/>
      <c r="AH177" s="121"/>
      <c r="AI177" s="121"/>
      <c r="AJ177" s="121"/>
      <c r="AK177" s="121"/>
      <c r="AL177" s="121"/>
      <c r="AM177" s="120"/>
      <c r="AN177" s="120"/>
      <c r="AO177" s="120"/>
      <c r="AP177" s="120"/>
      <c r="AQ177" s="120"/>
      <c r="AR177" s="122"/>
      <c r="AS177" s="119"/>
      <c r="AT177" s="119"/>
      <c r="AU177" s="119"/>
      <c r="AV177" s="119"/>
      <c r="AW177" s="119"/>
      <c r="AX177" s="119"/>
      <c r="AY177" s="119"/>
      <c r="AZ177" s="119"/>
      <c r="BA177" s="119"/>
      <c r="BB177" s="119"/>
      <c r="BC177" s="120"/>
    </row>
    <row r="178" spans="1:55" s="115" customFormat="1" ht="11.1" customHeight="1" x14ac:dyDescent="0.2">
      <c r="A178" s="112"/>
      <c r="B178" s="112"/>
      <c r="C178" s="112"/>
      <c r="D178" s="112"/>
      <c r="E178" s="112"/>
      <c r="F178" s="112"/>
      <c r="G178" s="112"/>
      <c r="H178" s="112"/>
      <c r="I178" s="112"/>
      <c r="J178" s="112"/>
      <c r="K178" s="116"/>
      <c r="L178" s="117"/>
      <c r="M178" s="118"/>
      <c r="N178" s="114"/>
      <c r="O178" s="114"/>
      <c r="P178" s="114"/>
      <c r="T178" s="112"/>
      <c r="U178" s="112"/>
      <c r="V178" s="120"/>
      <c r="W178" s="121"/>
      <c r="X178" s="121"/>
      <c r="Y178" s="120"/>
      <c r="Z178" s="120"/>
      <c r="AA178" s="120"/>
      <c r="AB178" s="120"/>
      <c r="AC178" s="120"/>
      <c r="AD178" s="120"/>
      <c r="AE178" s="120"/>
      <c r="AF178" s="120"/>
      <c r="AG178" s="120"/>
      <c r="AH178" s="121"/>
      <c r="AI178" s="121"/>
      <c r="AJ178" s="121"/>
      <c r="AK178" s="121"/>
      <c r="AL178" s="121"/>
      <c r="AM178" s="120"/>
      <c r="AN178" s="120"/>
      <c r="AO178" s="120"/>
      <c r="AP178" s="120"/>
      <c r="AQ178" s="120"/>
      <c r="AR178" s="122"/>
      <c r="AS178" s="119"/>
      <c r="AT178" s="119"/>
      <c r="AU178" s="119"/>
      <c r="AV178" s="119"/>
      <c r="AW178" s="119"/>
      <c r="AX178" s="119"/>
      <c r="AY178" s="119"/>
      <c r="AZ178" s="119"/>
      <c r="BA178" s="119"/>
      <c r="BB178" s="119"/>
      <c r="BC178" s="120"/>
    </row>
    <row r="179" spans="1:55" s="115" customFormat="1" ht="11.1" customHeight="1" x14ac:dyDescent="0.2">
      <c r="A179" s="112"/>
      <c r="B179" s="112"/>
      <c r="C179" s="112"/>
      <c r="D179" s="112"/>
      <c r="E179" s="112"/>
      <c r="F179" s="112"/>
      <c r="G179" s="112"/>
      <c r="H179" s="112"/>
      <c r="I179" s="112"/>
      <c r="J179" s="112"/>
      <c r="K179" s="116"/>
      <c r="L179" s="117"/>
      <c r="M179" s="118"/>
      <c r="N179" s="114"/>
      <c r="O179" s="114"/>
      <c r="P179" s="114"/>
      <c r="T179" s="112"/>
      <c r="U179" s="112"/>
      <c r="V179" s="120"/>
      <c r="W179" s="121"/>
      <c r="X179" s="121"/>
      <c r="Y179" s="120"/>
      <c r="Z179" s="120"/>
      <c r="AA179" s="120"/>
      <c r="AB179" s="120"/>
      <c r="AC179" s="120"/>
      <c r="AD179" s="120"/>
      <c r="AE179" s="120"/>
      <c r="AF179" s="120"/>
      <c r="AG179" s="120"/>
      <c r="AH179" s="121"/>
      <c r="AI179" s="121"/>
      <c r="AJ179" s="121"/>
      <c r="AK179" s="121"/>
      <c r="AL179" s="121"/>
      <c r="AM179" s="120"/>
      <c r="AN179" s="120"/>
      <c r="AO179" s="120"/>
      <c r="AP179" s="120"/>
      <c r="AQ179" s="120"/>
      <c r="AR179" s="122"/>
      <c r="AS179" s="119"/>
      <c r="AT179" s="119"/>
      <c r="AU179" s="119"/>
      <c r="AV179" s="119"/>
      <c r="AW179" s="119"/>
      <c r="AX179" s="119"/>
      <c r="AY179" s="119"/>
      <c r="AZ179" s="119"/>
      <c r="BA179" s="119"/>
      <c r="BB179" s="119"/>
      <c r="BC179" s="120"/>
    </row>
    <row r="180" spans="1:55" s="115" customFormat="1" ht="11.1" customHeight="1" x14ac:dyDescent="0.2">
      <c r="A180" s="112"/>
      <c r="B180" s="112"/>
      <c r="C180" s="112"/>
      <c r="D180" s="112"/>
      <c r="E180" s="112"/>
      <c r="F180" s="112"/>
      <c r="G180" s="112"/>
      <c r="H180" s="112"/>
      <c r="I180" s="112"/>
      <c r="J180" s="112"/>
      <c r="K180" s="116"/>
      <c r="L180" s="117"/>
      <c r="M180" s="118"/>
      <c r="N180" s="114"/>
      <c r="O180" s="114"/>
      <c r="P180" s="114"/>
      <c r="T180" s="112"/>
      <c r="U180" s="112"/>
      <c r="V180" s="120"/>
      <c r="W180" s="121"/>
      <c r="X180" s="121"/>
      <c r="Y180" s="120"/>
      <c r="Z180" s="120"/>
      <c r="AA180" s="120"/>
      <c r="AB180" s="120"/>
      <c r="AC180" s="120"/>
      <c r="AD180" s="120"/>
      <c r="AE180" s="120"/>
      <c r="AF180" s="120"/>
      <c r="AG180" s="120"/>
      <c r="AH180" s="121"/>
      <c r="AI180" s="121"/>
      <c r="AJ180" s="121"/>
      <c r="AK180" s="121"/>
      <c r="AL180" s="121"/>
      <c r="AM180" s="120"/>
      <c r="AN180" s="120"/>
      <c r="AO180" s="120"/>
      <c r="AP180" s="120"/>
      <c r="AQ180" s="120"/>
      <c r="AR180" s="122"/>
      <c r="AS180" s="119"/>
      <c r="AT180" s="119"/>
      <c r="AU180" s="119"/>
      <c r="AV180" s="119"/>
      <c r="AW180" s="119"/>
      <c r="AX180" s="119"/>
      <c r="AY180" s="119"/>
      <c r="AZ180" s="119"/>
      <c r="BA180" s="119"/>
      <c r="BB180" s="119"/>
      <c r="BC180" s="120"/>
    </row>
    <row r="181" spans="1:55" s="115" customFormat="1" ht="11.1" customHeight="1" x14ac:dyDescent="0.2">
      <c r="A181" s="112"/>
      <c r="B181" s="112"/>
      <c r="C181" s="112"/>
      <c r="D181" s="112"/>
      <c r="E181" s="112"/>
      <c r="F181" s="112"/>
      <c r="G181" s="112"/>
      <c r="H181" s="112"/>
      <c r="I181" s="112"/>
      <c r="J181" s="112"/>
      <c r="K181" s="116"/>
      <c r="L181" s="117"/>
      <c r="M181" s="118"/>
      <c r="N181" s="114"/>
      <c r="O181" s="114"/>
      <c r="P181" s="114"/>
      <c r="T181" s="112"/>
      <c r="U181" s="112"/>
      <c r="V181" s="120"/>
      <c r="W181" s="121"/>
      <c r="X181" s="121"/>
      <c r="Y181" s="120"/>
      <c r="Z181" s="120"/>
      <c r="AA181" s="120"/>
      <c r="AB181" s="120"/>
      <c r="AC181" s="120"/>
      <c r="AD181" s="120"/>
      <c r="AE181" s="120"/>
      <c r="AF181" s="120"/>
      <c r="AG181" s="120"/>
      <c r="AH181" s="121"/>
      <c r="AI181" s="121"/>
      <c r="AJ181" s="121"/>
      <c r="AK181" s="121"/>
      <c r="AL181" s="121"/>
      <c r="AM181" s="120"/>
      <c r="AN181" s="120"/>
      <c r="AO181" s="120"/>
      <c r="AP181" s="120"/>
      <c r="AQ181" s="120"/>
      <c r="AR181" s="122"/>
      <c r="AS181" s="119"/>
      <c r="AT181" s="119"/>
      <c r="AU181" s="119"/>
      <c r="AV181" s="119"/>
      <c r="AW181" s="119"/>
      <c r="AX181" s="119"/>
      <c r="AY181" s="119"/>
      <c r="AZ181" s="119"/>
      <c r="BA181" s="119"/>
      <c r="BB181" s="119"/>
      <c r="BC181" s="120"/>
    </row>
    <row r="182" spans="1:55" s="115" customFormat="1" ht="11.1" customHeight="1" x14ac:dyDescent="0.2">
      <c r="A182" s="112"/>
      <c r="B182" s="112"/>
      <c r="C182" s="112"/>
      <c r="D182" s="112"/>
      <c r="E182" s="112"/>
      <c r="F182" s="112"/>
      <c r="G182" s="112"/>
      <c r="H182" s="112"/>
      <c r="I182" s="112"/>
      <c r="J182" s="112"/>
      <c r="K182" s="116"/>
      <c r="L182" s="117"/>
      <c r="M182" s="118"/>
      <c r="N182" s="114"/>
      <c r="O182" s="114"/>
      <c r="P182" s="114"/>
      <c r="T182" s="112"/>
      <c r="U182" s="112"/>
      <c r="V182" s="120"/>
      <c r="W182" s="121"/>
      <c r="X182" s="121"/>
      <c r="Y182" s="120"/>
      <c r="Z182" s="120"/>
      <c r="AA182" s="120"/>
      <c r="AB182" s="120"/>
      <c r="AC182" s="120"/>
      <c r="AD182" s="120"/>
      <c r="AE182" s="120"/>
      <c r="AF182" s="120"/>
      <c r="AG182" s="120"/>
      <c r="AH182" s="121"/>
      <c r="AI182" s="121"/>
      <c r="AJ182" s="121"/>
      <c r="AK182" s="121"/>
      <c r="AL182" s="121"/>
      <c r="AM182" s="120"/>
      <c r="AN182" s="120"/>
      <c r="AO182" s="120"/>
      <c r="AP182" s="120"/>
      <c r="AQ182" s="120"/>
      <c r="AR182" s="122"/>
      <c r="AS182" s="119"/>
      <c r="AT182" s="119"/>
      <c r="AU182" s="119"/>
      <c r="AV182" s="119"/>
      <c r="AW182" s="119"/>
      <c r="AX182" s="119"/>
      <c r="AY182" s="119"/>
      <c r="AZ182" s="119"/>
      <c r="BA182" s="119"/>
      <c r="BB182" s="119"/>
      <c r="BC182" s="120"/>
    </row>
    <row r="183" spans="1:55" s="115" customFormat="1" ht="11.1" customHeight="1" x14ac:dyDescent="0.2">
      <c r="A183" s="112"/>
      <c r="B183" s="112"/>
      <c r="C183" s="112"/>
      <c r="D183" s="112"/>
      <c r="E183" s="112"/>
      <c r="F183" s="112"/>
      <c r="G183" s="112"/>
      <c r="H183" s="112"/>
      <c r="I183" s="112"/>
      <c r="J183" s="112"/>
      <c r="K183" s="116"/>
      <c r="L183" s="117"/>
      <c r="M183" s="118"/>
      <c r="N183" s="114"/>
      <c r="O183" s="114"/>
      <c r="P183" s="114"/>
      <c r="T183" s="112"/>
      <c r="U183" s="112"/>
      <c r="V183" s="120"/>
      <c r="W183" s="121"/>
      <c r="X183" s="121"/>
      <c r="Y183" s="120"/>
      <c r="Z183" s="120"/>
      <c r="AA183" s="120"/>
      <c r="AB183" s="120"/>
      <c r="AC183" s="120"/>
      <c r="AD183" s="120"/>
      <c r="AE183" s="120"/>
      <c r="AF183" s="120"/>
      <c r="AG183" s="120"/>
      <c r="AH183" s="121"/>
      <c r="AI183" s="121"/>
      <c r="AJ183" s="121"/>
      <c r="AK183" s="121"/>
      <c r="AL183" s="121"/>
      <c r="AM183" s="120"/>
      <c r="AN183" s="120"/>
      <c r="AO183" s="120"/>
      <c r="AP183" s="120"/>
      <c r="AQ183" s="120"/>
      <c r="AR183" s="122"/>
      <c r="AS183" s="119"/>
      <c r="AT183" s="119"/>
      <c r="AU183" s="119"/>
      <c r="AV183" s="119"/>
      <c r="AW183" s="119"/>
      <c r="AX183" s="119"/>
      <c r="AY183" s="119"/>
      <c r="AZ183" s="119"/>
      <c r="BA183" s="119"/>
      <c r="BB183" s="119"/>
      <c r="BC183" s="120"/>
    </row>
    <row r="184" spans="1:55" s="115" customFormat="1" ht="11.1" customHeight="1" x14ac:dyDescent="0.2">
      <c r="A184" s="112"/>
      <c r="B184" s="112"/>
      <c r="C184" s="112"/>
      <c r="D184" s="112"/>
      <c r="E184" s="112"/>
      <c r="F184" s="112"/>
      <c r="G184" s="112"/>
      <c r="H184" s="112"/>
      <c r="I184" s="112"/>
      <c r="J184" s="112"/>
      <c r="K184" s="116"/>
      <c r="L184" s="117"/>
      <c r="M184" s="118"/>
      <c r="N184" s="114"/>
      <c r="O184" s="114"/>
      <c r="P184" s="114"/>
      <c r="T184" s="112"/>
      <c r="U184" s="112"/>
      <c r="V184" s="120"/>
      <c r="W184" s="121"/>
      <c r="X184" s="121"/>
      <c r="Y184" s="120"/>
      <c r="Z184" s="120"/>
      <c r="AA184" s="120"/>
      <c r="AB184" s="120"/>
      <c r="AC184" s="120"/>
      <c r="AD184" s="120"/>
      <c r="AE184" s="120"/>
      <c r="AF184" s="120"/>
      <c r="AG184" s="120"/>
      <c r="AH184" s="121"/>
      <c r="AI184" s="121"/>
      <c r="AJ184" s="121"/>
      <c r="AK184" s="121"/>
      <c r="AL184" s="121"/>
      <c r="AM184" s="120"/>
      <c r="AN184" s="120"/>
      <c r="AO184" s="120"/>
      <c r="AP184" s="120"/>
      <c r="AQ184" s="120"/>
      <c r="AR184" s="122"/>
      <c r="AS184" s="119"/>
      <c r="AT184" s="119"/>
      <c r="AU184" s="119"/>
      <c r="AV184" s="119"/>
      <c r="AW184" s="119"/>
      <c r="AX184" s="119"/>
      <c r="AY184" s="119"/>
      <c r="AZ184" s="119"/>
      <c r="BA184" s="119"/>
      <c r="BB184" s="119"/>
      <c r="BC184" s="120"/>
    </row>
    <row r="185" spans="1:55" s="115" customFormat="1" ht="11.1" customHeight="1" x14ac:dyDescent="0.2">
      <c r="A185" s="112"/>
      <c r="B185" s="112"/>
      <c r="C185" s="112"/>
      <c r="D185" s="112"/>
      <c r="E185" s="112"/>
      <c r="F185" s="112"/>
      <c r="G185" s="112"/>
      <c r="H185" s="112"/>
      <c r="I185" s="112"/>
      <c r="J185" s="112"/>
      <c r="K185" s="116"/>
      <c r="L185" s="117"/>
      <c r="M185" s="118"/>
      <c r="N185" s="114"/>
      <c r="O185" s="114"/>
      <c r="P185" s="114"/>
      <c r="T185" s="112"/>
      <c r="U185" s="112"/>
      <c r="V185" s="120"/>
      <c r="W185" s="121"/>
      <c r="X185" s="121"/>
      <c r="Y185" s="120"/>
      <c r="Z185" s="120"/>
      <c r="AA185" s="120"/>
      <c r="AB185" s="120"/>
      <c r="AC185" s="120"/>
      <c r="AD185" s="120"/>
      <c r="AE185" s="120"/>
      <c r="AF185" s="120"/>
      <c r="AG185" s="120"/>
      <c r="AH185" s="121"/>
      <c r="AI185" s="121"/>
      <c r="AJ185" s="121"/>
      <c r="AK185" s="121"/>
      <c r="AL185" s="121"/>
      <c r="AM185" s="120"/>
      <c r="AN185" s="120"/>
      <c r="AO185" s="120"/>
      <c r="AP185" s="120"/>
      <c r="AQ185" s="120"/>
      <c r="AR185" s="122"/>
      <c r="AS185" s="119"/>
      <c r="AT185" s="119"/>
      <c r="AU185" s="119"/>
      <c r="AV185" s="119"/>
      <c r="AW185" s="119"/>
      <c r="AX185" s="119"/>
      <c r="AY185" s="119"/>
      <c r="AZ185" s="119"/>
      <c r="BA185" s="119"/>
      <c r="BB185" s="119"/>
      <c r="BC185" s="120"/>
    </row>
    <row r="186" spans="1:55" s="115" customFormat="1" ht="11.1" customHeight="1" x14ac:dyDescent="0.2">
      <c r="A186" s="112"/>
      <c r="B186" s="112"/>
      <c r="C186" s="112"/>
      <c r="D186" s="112"/>
      <c r="E186" s="112"/>
      <c r="F186" s="112"/>
      <c r="G186" s="112"/>
      <c r="H186" s="112"/>
      <c r="I186" s="112"/>
      <c r="J186" s="112"/>
      <c r="K186" s="116"/>
      <c r="L186" s="117"/>
      <c r="M186" s="118"/>
      <c r="N186" s="114"/>
      <c r="O186" s="114"/>
      <c r="P186" s="114"/>
      <c r="T186" s="112"/>
      <c r="U186" s="112"/>
      <c r="V186" s="120"/>
      <c r="W186" s="121"/>
      <c r="X186" s="121"/>
      <c r="Y186" s="120"/>
      <c r="Z186" s="120"/>
      <c r="AA186" s="120"/>
      <c r="AB186" s="120"/>
      <c r="AC186" s="120"/>
      <c r="AD186" s="120"/>
      <c r="AE186" s="120"/>
      <c r="AF186" s="120"/>
      <c r="AG186" s="120"/>
      <c r="AH186" s="121"/>
      <c r="AI186" s="121"/>
      <c r="AJ186" s="121"/>
      <c r="AK186" s="121"/>
      <c r="AL186" s="121"/>
      <c r="AM186" s="120"/>
      <c r="AN186" s="120"/>
      <c r="AO186" s="120"/>
      <c r="AP186" s="120"/>
      <c r="AQ186" s="120"/>
      <c r="AR186" s="122"/>
      <c r="AS186" s="119"/>
      <c r="AT186" s="119"/>
      <c r="AU186" s="119"/>
      <c r="AV186" s="119"/>
      <c r="AW186" s="119"/>
      <c r="AX186" s="119"/>
      <c r="AY186" s="119"/>
      <c r="AZ186" s="119"/>
      <c r="BA186" s="119"/>
      <c r="BB186" s="119"/>
      <c r="BC186" s="120"/>
    </row>
    <row r="187" spans="1:55" s="115" customFormat="1" ht="11.1" customHeight="1" x14ac:dyDescent="0.2">
      <c r="A187" s="112"/>
      <c r="B187" s="112"/>
      <c r="C187" s="112"/>
      <c r="D187" s="112"/>
      <c r="E187" s="112"/>
      <c r="F187" s="112"/>
      <c r="G187" s="112"/>
      <c r="H187" s="112"/>
      <c r="I187" s="112"/>
      <c r="J187" s="112"/>
      <c r="K187" s="116"/>
      <c r="L187" s="117"/>
      <c r="M187" s="118"/>
      <c r="N187" s="114"/>
      <c r="O187" s="114"/>
      <c r="P187" s="114"/>
      <c r="T187" s="112"/>
      <c r="U187" s="112"/>
      <c r="V187" s="120"/>
      <c r="W187" s="121"/>
      <c r="X187" s="121"/>
      <c r="Y187" s="120"/>
      <c r="Z187" s="120"/>
      <c r="AA187" s="120"/>
      <c r="AB187" s="120"/>
      <c r="AC187" s="120"/>
      <c r="AD187" s="120"/>
      <c r="AE187" s="120"/>
      <c r="AF187" s="120"/>
      <c r="AG187" s="120"/>
      <c r="AH187" s="121"/>
      <c r="AI187" s="121"/>
      <c r="AJ187" s="121"/>
      <c r="AK187" s="121"/>
      <c r="AL187" s="121"/>
      <c r="AM187" s="120"/>
      <c r="AN187" s="120"/>
      <c r="AO187" s="120"/>
      <c r="AP187" s="120"/>
      <c r="AQ187" s="120"/>
      <c r="AR187" s="122"/>
      <c r="AS187" s="119"/>
      <c r="AT187" s="119"/>
      <c r="AU187" s="119"/>
      <c r="AV187" s="119"/>
      <c r="AW187" s="119"/>
      <c r="AX187" s="119"/>
      <c r="AY187" s="119"/>
      <c r="AZ187" s="119"/>
      <c r="BA187" s="119"/>
      <c r="BB187" s="119"/>
      <c r="BC187" s="120"/>
    </row>
    <row r="188" spans="1:55" s="115" customFormat="1" ht="11.1" customHeight="1" x14ac:dyDescent="0.2">
      <c r="A188" s="112"/>
      <c r="B188" s="112"/>
      <c r="C188" s="112"/>
      <c r="D188" s="112"/>
      <c r="E188" s="5"/>
      <c r="F188" s="5"/>
      <c r="G188" s="5"/>
      <c r="H188" s="5"/>
      <c r="I188" s="5"/>
      <c r="J188" s="5"/>
      <c r="K188" s="21"/>
      <c r="L188" s="11"/>
      <c r="M188" s="45"/>
      <c r="N188" s="1"/>
      <c r="O188" s="114"/>
      <c r="P188" s="114"/>
      <c r="T188" s="112"/>
      <c r="U188" s="112"/>
      <c r="V188" s="120"/>
      <c r="W188" s="121"/>
      <c r="X188" s="121"/>
      <c r="Y188" s="120"/>
      <c r="Z188" s="120"/>
      <c r="AA188" s="120"/>
      <c r="AB188" s="120"/>
      <c r="AC188" s="120"/>
      <c r="AD188" s="120"/>
      <c r="AE188" s="120"/>
      <c r="AF188" s="120"/>
      <c r="AG188" s="120"/>
      <c r="AH188" s="121"/>
      <c r="AI188" s="121"/>
      <c r="AJ188" s="121"/>
      <c r="AK188" s="121"/>
      <c r="AL188" s="121"/>
      <c r="AM188" s="120"/>
      <c r="AN188" s="120"/>
      <c r="AO188" s="120"/>
      <c r="AP188" s="120"/>
      <c r="AQ188" s="120"/>
      <c r="AR188" s="122"/>
      <c r="AS188" s="119"/>
      <c r="AT188" s="119"/>
      <c r="AU188" s="119"/>
      <c r="AV188" s="119"/>
      <c r="AW188" s="119"/>
      <c r="AX188" s="119"/>
      <c r="AY188" s="119"/>
      <c r="AZ188" s="119"/>
      <c r="BA188" s="119"/>
      <c r="BB188" s="119"/>
      <c r="BC188" s="120"/>
    </row>
    <row r="189" spans="1:55" ht="11.1" customHeight="1" x14ac:dyDescent="0.2">
      <c r="K189" s="21"/>
      <c r="L189" s="11"/>
      <c r="M189" s="45"/>
      <c r="P189" s="1"/>
      <c r="S189"/>
      <c r="U189" s="5"/>
      <c r="V189" s="17"/>
      <c r="X189" s="7"/>
      <c r="AG189" s="17"/>
      <c r="AL189" s="7"/>
      <c r="AR189" s="88"/>
      <c r="AS189" s="75"/>
      <c r="AT189" s="75"/>
      <c r="AU189" s="75"/>
      <c r="AV189" s="75"/>
      <c r="AW189" s="75"/>
      <c r="AX189" s="75"/>
      <c r="AY189" s="75"/>
      <c r="AZ189" s="75"/>
      <c r="BA189" s="75"/>
      <c r="BB189" s="75"/>
      <c r="BC189" s="17"/>
    </row>
    <row r="190" spans="1:55" ht="11.1" customHeight="1" x14ac:dyDescent="0.2">
      <c r="K190" s="21"/>
      <c r="L190" s="11"/>
      <c r="M190" s="45"/>
      <c r="P190" s="1"/>
      <c r="S190"/>
      <c r="U190" s="5"/>
      <c r="V190" s="17"/>
      <c r="X190" s="7"/>
      <c r="AG190" s="17"/>
      <c r="AL190" s="7"/>
      <c r="AR190" s="88"/>
      <c r="AS190" s="75"/>
      <c r="AT190" s="75"/>
      <c r="AU190" s="75"/>
      <c r="AV190" s="75"/>
      <c r="AW190" s="75"/>
      <c r="AX190" s="75"/>
      <c r="AY190" s="75"/>
      <c r="AZ190" s="75"/>
      <c r="BA190" s="75"/>
      <c r="BB190" s="75"/>
      <c r="BC190" s="17"/>
    </row>
    <row r="191" spans="1:55" ht="11.1" customHeight="1" x14ac:dyDescent="0.2">
      <c r="K191" s="21"/>
      <c r="L191" s="11"/>
      <c r="M191" s="45"/>
      <c r="P191" s="1"/>
      <c r="S191"/>
      <c r="U191" s="5"/>
      <c r="V191" s="17"/>
      <c r="X191" s="7"/>
      <c r="AG191" s="17"/>
      <c r="AL191" s="7"/>
      <c r="AR191" s="88"/>
      <c r="AS191" s="75"/>
      <c r="AT191" s="75"/>
      <c r="AU191" s="75"/>
      <c r="AV191" s="75"/>
      <c r="AW191" s="75"/>
      <c r="AX191" s="75"/>
      <c r="AY191" s="75"/>
      <c r="AZ191" s="75"/>
      <c r="BA191" s="75"/>
      <c r="BB191" s="75"/>
      <c r="BC191" s="17"/>
    </row>
    <row r="192" spans="1:55" ht="11.1" customHeight="1" x14ac:dyDescent="0.2">
      <c r="K192" s="21"/>
      <c r="L192" s="11"/>
      <c r="M192" s="45"/>
      <c r="P192" s="1"/>
      <c r="S192"/>
      <c r="U192" s="5"/>
      <c r="V192" s="17"/>
      <c r="X192" s="7"/>
      <c r="AG192" s="17"/>
      <c r="AL192" s="7"/>
      <c r="AR192" s="88"/>
      <c r="AS192" s="75"/>
      <c r="AT192" s="75"/>
      <c r="AU192" s="75"/>
      <c r="AV192" s="75"/>
      <c r="AW192" s="75"/>
      <c r="AX192" s="75"/>
      <c r="AY192" s="75"/>
      <c r="AZ192" s="75"/>
      <c r="BA192" s="75"/>
      <c r="BB192" s="75"/>
      <c r="BC192" s="17"/>
    </row>
    <row r="193" spans="11:55" ht="11.1" customHeight="1" x14ac:dyDescent="0.2">
      <c r="K193" s="21"/>
      <c r="L193" s="11"/>
      <c r="M193" s="45"/>
      <c r="P193" s="1"/>
      <c r="S193"/>
      <c r="U193" s="5"/>
      <c r="V193" s="17"/>
      <c r="X193" s="7"/>
      <c r="AG193" s="17"/>
      <c r="AL193" s="7"/>
      <c r="AR193" s="88"/>
      <c r="AS193" s="75"/>
      <c r="AT193" s="75"/>
      <c r="AU193" s="75"/>
      <c r="AV193" s="75"/>
      <c r="AW193" s="75"/>
      <c r="AX193" s="75"/>
      <c r="AY193" s="75"/>
      <c r="AZ193" s="75"/>
      <c r="BA193" s="75"/>
      <c r="BB193" s="75"/>
      <c r="BC193" s="17"/>
    </row>
    <row r="194" spans="11:55" ht="11.1" customHeight="1" x14ac:dyDescent="0.2">
      <c r="K194" s="21"/>
      <c r="L194" s="11"/>
      <c r="M194" s="45"/>
      <c r="P194" s="1"/>
      <c r="S194"/>
      <c r="U194" s="5"/>
      <c r="V194" s="17"/>
      <c r="X194" s="7"/>
      <c r="AG194" s="17"/>
      <c r="AL194" s="7"/>
      <c r="AR194" s="88"/>
      <c r="AS194" s="75"/>
      <c r="AT194" s="75"/>
      <c r="AU194" s="75"/>
      <c r="AV194" s="75"/>
      <c r="AW194" s="75"/>
      <c r="AX194" s="75"/>
      <c r="AY194" s="75"/>
      <c r="AZ194" s="75"/>
      <c r="BA194" s="75"/>
      <c r="BB194" s="75"/>
      <c r="BC194" s="17"/>
    </row>
    <row r="195" spans="11:55" ht="11.1" customHeight="1" x14ac:dyDescent="0.2">
      <c r="K195" s="21"/>
      <c r="L195" s="11"/>
      <c r="M195" s="45"/>
      <c r="P195" s="1"/>
      <c r="S195"/>
      <c r="U195" s="5"/>
      <c r="V195" s="17"/>
      <c r="X195" s="7"/>
      <c r="AG195" s="17"/>
      <c r="AL195" s="7"/>
      <c r="AR195" s="88"/>
      <c r="AS195" s="75"/>
      <c r="AT195" s="75"/>
      <c r="AU195" s="75"/>
      <c r="AV195" s="75"/>
      <c r="AW195" s="75"/>
      <c r="AX195" s="75"/>
      <c r="AY195" s="75"/>
      <c r="AZ195" s="75"/>
      <c r="BA195" s="75"/>
      <c r="BB195" s="75"/>
      <c r="BC195" s="17"/>
    </row>
    <row r="196" spans="11:55" ht="11.1" customHeight="1" x14ac:dyDescent="0.2">
      <c r="K196" s="21"/>
      <c r="L196" s="11"/>
      <c r="M196" s="45"/>
      <c r="P196" s="1"/>
      <c r="S196"/>
      <c r="U196" s="5"/>
      <c r="V196" s="17"/>
      <c r="X196" s="7"/>
      <c r="AG196" s="17"/>
      <c r="AL196" s="7"/>
      <c r="AR196" s="88"/>
      <c r="AS196" s="75"/>
      <c r="AT196" s="75"/>
      <c r="AU196" s="75"/>
      <c r="AV196" s="75"/>
      <c r="AW196" s="75"/>
      <c r="AX196" s="75"/>
      <c r="AY196" s="75"/>
      <c r="AZ196" s="75"/>
      <c r="BA196" s="75"/>
      <c r="BB196" s="75"/>
      <c r="BC196" s="17"/>
    </row>
    <row r="197" spans="11:55" ht="11.1" customHeight="1" x14ac:dyDescent="0.2">
      <c r="K197" s="21"/>
      <c r="L197" s="11"/>
      <c r="M197" s="45"/>
      <c r="P197" s="1"/>
      <c r="S197"/>
      <c r="U197" s="5"/>
      <c r="V197" s="17"/>
      <c r="X197" s="7"/>
      <c r="AG197" s="17"/>
      <c r="AL197" s="7"/>
      <c r="AR197" s="88"/>
      <c r="AS197" s="75"/>
      <c r="AT197" s="75"/>
      <c r="AU197" s="75"/>
      <c r="AV197" s="75"/>
      <c r="AW197" s="75"/>
      <c r="AX197" s="75"/>
      <c r="AY197" s="75"/>
      <c r="AZ197" s="75"/>
      <c r="BA197" s="75"/>
      <c r="BB197" s="75"/>
      <c r="BC197" s="17"/>
    </row>
    <row r="198" spans="11:55" ht="11.1" customHeight="1" x14ac:dyDescent="0.2">
      <c r="K198" s="21"/>
      <c r="L198" s="11"/>
      <c r="M198" s="45"/>
      <c r="P198" s="1"/>
      <c r="S198"/>
      <c r="U198" s="5"/>
      <c r="V198" s="17"/>
      <c r="X198" s="7"/>
      <c r="AG198" s="17"/>
      <c r="AL198" s="7"/>
      <c r="AR198" s="88"/>
      <c r="AS198" s="75"/>
      <c r="AT198" s="75"/>
      <c r="AU198" s="75"/>
      <c r="AV198" s="75"/>
      <c r="AW198" s="75"/>
      <c r="AX198" s="75"/>
      <c r="AY198" s="75"/>
      <c r="AZ198" s="75"/>
      <c r="BA198" s="75"/>
      <c r="BB198" s="75"/>
      <c r="BC198" s="17"/>
    </row>
    <row r="199" spans="11:55" ht="11.1" customHeight="1" x14ac:dyDescent="0.2">
      <c r="K199" s="21"/>
      <c r="L199" s="11"/>
      <c r="M199" s="45"/>
      <c r="P199" s="1"/>
      <c r="S199"/>
      <c r="U199" s="5"/>
      <c r="V199" s="17"/>
      <c r="X199" s="7"/>
      <c r="AG199" s="17"/>
      <c r="AL199" s="7"/>
      <c r="AR199" s="88"/>
      <c r="AS199" s="75"/>
      <c r="AT199" s="75"/>
      <c r="AU199" s="75"/>
      <c r="AV199" s="75"/>
      <c r="AW199" s="75"/>
      <c r="AX199" s="75"/>
      <c r="AY199" s="75"/>
      <c r="AZ199" s="75"/>
      <c r="BA199" s="75"/>
      <c r="BB199" s="75"/>
      <c r="BC199" s="17"/>
    </row>
    <row r="200" spans="11:55" ht="11.1" customHeight="1" x14ac:dyDescent="0.2">
      <c r="K200" s="21"/>
      <c r="L200" s="11"/>
      <c r="M200" s="45"/>
      <c r="P200" s="1"/>
      <c r="S200"/>
      <c r="U200" s="5"/>
      <c r="V200" s="17"/>
      <c r="X200" s="7"/>
      <c r="AG200" s="17"/>
      <c r="AL200" s="7"/>
      <c r="AR200" s="88"/>
      <c r="AS200" s="75"/>
      <c r="AT200" s="75"/>
      <c r="AU200" s="75"/>
      <c r="AV200" s="75"/>
      <c r="AW200" s="75"/>
      <c r="AX200" s="75"/>
      <c r="AY200" s="75"/>
      <c r="AZ200" s="75"/>
      <c r="BA200" s="75"/>
      <c r="BB200" s="75"/>
      <c r="BC200" s="17"/>
    </row>
    <row r="201" spans="11:55" ht="11.1" customHeight="1" x14ac:dyDescent="0.2">
      <c r="K201" s="21"/>
      <c r="L201" s="11"/>
      <c r="M201" s="45"/>
      <c r="P201" s="1"/>
      <c r="S201"/>
      <c r="U201" s="5"/>
      <c r="V201" s="17"/>
      <c r="X201" s="7"/>
      <c r="AG201" s="17"/>
      <c r="AL201" s="7"/>
      <c r="AR201" s="88"/>
      <c r="AS201" s="75"/>
      <c r="AT201" s="75"/>
      <c r="AU201" s="75"/>
      <c r="AV201" s="75"/>
      <c r="AW201" s="75"/>
      <c r="AX201" s="75"/>
      <c r="AY201" s="75"/>
      <c r="AZ201" s="75"/>
      <c r="BA201" s="75"/>
      <c r="BB201" s="75"/>
      <c r="BC201" s="17"/>
    </row>
    <row r="202" spans="11:55" ht="11.1" customHeight="1" x14ac:dyDescent="0.2">
      <c r="K202" s="21"/>
      <c r="L202" s="11"/>
      <c r="M202" s="45"/>
      <c r="P202" s="1"/>
      <c r="S202"/>
      <c r="U202" s="5"/>
      <c r="V202" s="17"/>
      <c r="X202" s="7"/>
      <c r="AG202" s="17"/>
      <c r="AL202" s="7"/>
      <c r="AR202" s="88"/>
      <c r="AS202" s="75"/>
      <c r="AT202" s="75"/>
      <c r="AU202" s="75"/>
      <c r="AV202" s="75"/>
      <c r="AW202" s="75"/>
      <c r="AX202" s="75"/>
      <c r="AY202" s="75"/>
      <c r="AZ202" s="75"/>
      <c r="BA202" s="75"/>
      <c r="BB202" s="75"/>
      <c r="BC202" s="17"/>
    </row>
    <row r="203" spans="11:55" ht="11.1" customHeight="1" x14ac:dyDescent="0.2">
      <c r="K203" s="21"/>
      <c r="L203" s="11"/>
      <c r="M203" s="45"/>
      <c r="P203" s="1"/>
      <c r="S203"/>
      <c r="U203" s="5"/>
      <c r="V203" s="17"/>
      <c r="X203" s="7"/>
      <c r="AG203" s="17"/>
      <c r="AL203" s="7"/>
      <c r="AR203" s="88"/>
      <c r="AS203" s="75"/>
      <c r="AT203" s="75"/>
      <c r="AU203" s="75"/>
      <c r="AV203" s="75"/>
      <c r="AW203" s="75"/>
      <c r="AX203" s="75"/>
      <c r="AY203" s="75"/>
      <c r="AZ203" s="75"/>
      <c r="BA203" s="75"/>
      <c r="BB203" s="75"/>
      <c r="BC203" s="17"/>
    </row>
    <row r="204" spans="11:55" ht="11.1" customHeight="1" x14ac:dyDescent="0.2">
      <c r="K204" s="21"/>
      <c r="L204" s="11"/>
      <c r="M204" s="45"/>
      <c r="P204" s="1"/>
      <c r="S204"/>
      <c r="U204" s="5"/>
      <c r="V204" s="17"/>
      <c r="X204" s="7"/>
      <c r="AG204" s="17"/>
      <c r="AL204" s="7"/>
      <c r="AR204" s="88"/>
      <c r="AS204" s="75"/>
      <c r="AT204" s="75"/>
      <c r="AU204" s="75"/>
      <c r="AV204" s="75"/>
      <c r="AW204" s="75"/>
      <c r="AX204" s="75"/>
      <c r="AY204" s="75"/>
      <c r="AZ204" s="75"/>
      <c r="BA204" s="75"/>
      <c r="BB204" s="75"/>
      <c r="BC204" s="17"/>
    </row>
    <row r="205" spans="11:55" ht="11.1" customHeight="1" x14ac:dyDescent="0.2">
      <c r="K205" s="21"/>
      <c r="L205" s="11"/>
      <c r="M205" s="45"/>
      <c r="P205" s="1"/>
      <c r="S205"/>
      <c r="U205" s="5"/>
      <c r="V205" s="17"/>
      <c r="X205" s="7"/>
      <c r="AG205" s="17"/>
      <c r="AL205" s="7"/>
      <c r="AR205" s="88"/>
      <c r="AS205" s="75"/>
      <c r="AT205" s="75"/>
      <c r="AU205" s="75"/>
      <c r="AV205" s="75"/>
      <c r="AW205" s="75"/>
      <c r="AX205" s="75"/>
      <c r="AY205" s="75"/>
      <c r="AZ205" s="75"/>
      <c r="BA205" s="75"/>
      <c r="BB205" s="75"/>
      <c r="BC205" s="17"/>
    </row>
    <row r="206" spans="11:55" ht="11.1" customHeight="1" x14ac:dyDescent="0.2">
      <c r="K206" s="21"/>
      <c r="L206" s="11"/>
      <c r="M206" s="45"/>
      <c r="P206" s="1"/>
      <c r="S206"/>
      <c r="U206" s="5"/>
      <c r="V206" s="17"/>
      <c r="X206" s="7"/>
      <c r="AG206" s="17"/>
      <c r="AL206" s="7"/>
      <c r="AR206" s="88"/>
      <c r="AS206" s="75"/>
      <c r="AT206" s="75"/>
      <c r="AU206" s="75"/>
      <c r="AV206" s="75"/>
      <c r="AW206" s="75"/>
      <c r="AX206" s="75"/>
      <c r="AY206" s="75"/>
      <c r="AZ206" s="75"/>
      <c r="BA206" s="75"/>
      <c r="BB206" s="75"/>
      <c r="BC206" s="17"/>
    </row>
    <row r="207" spans="11:55" ht="11.1" customHeight="1" x14ac:dyDescent="0.2">
      <c r="K207" s="21"/>
      <c r="L207" s="11"/>
      <c r="M207" s="45"/>
      <c r="P207" s="1"/>
      <c r="S207"/>
      <c r="U207" s="5"/>
      <c r="V207" s="17"/>
      <c r="X207" s="7"/>
      <c r="AG207" s="17"/>
      <c r="AL207" s="7"/>
      <c r="AR207" s="88"/>
      <c r="AS207" s="75"/>
      <c r="AT207" s="75"/>
      <c r="AU207" s="75"/>
      <c r="AV207" s="75"/>
      <c r="AW207" s="75"/>
      <c r="AX207" s="75"/>
      <c r="AY207" s="75"/>
      <c r="AZ207" s="75"/>
      <c r="BA207" s="75"/>
      <c r="BB207" s="75"/>
      <c r="BC207" s="17"/>
    </row>
    <row r="208" spans="11:55" ht="11.1" customHeight="1" x14ac:dyDescent="0.2">
      <c r="K208" s="21"/>
      <c r="L208" s="11"/>
      <c r="M208" s="45"/>
      <c r="P208" s="1"/>
      <c r="S208"/>
      <c r="U208" s="5"/>
      <c r="V208" s="17"/>
      <c r="X208" s="7"/>
      <c r="AG208" s="17"/>
      <c r="AL208" s="7"/>
      <c r="AR208" s="88"/>
      <c r="AS208" s="75"/>
      <c r="AT208" s="75"/>
      <c r="AU208" s="75"/>
      <c r="AV208" s="75"/>
      <c r="AW208" s="75"/>
      <c r="AX208" s="75"/>
      <c r="AY208" s="75"/>
      <c r="AZ208" s="75"/>
      <c r="BA208" s="75"/>
      <c r="BB208" s="75"/>
      <c r="BC208" s="17"/>
    </row>
    <row r="209" spans="11:55" ht="11.1" customHeight="1" x14ac:dyDescent="0.2">
      <c r="K209" s="21"/>
      <c r="L209" s="11"/>
      <c r="M209" s="45"/>
      <c r="P209" s="1"/>
      <c r="S209"/>
      <c r="U209" s="5"/>
      <c r="V209" s="17"/>
      <c r="X209" s="7"/>
      <c r="AG209" s="17"/>
      <c r="AL209" s="7"/>
      <c r="AR209" s="88"/>
      <c r="AS209" s="75"/>
      <c r="AT209" s="75"/>
      <c r="AU209" s="75"/>
      <c r="AV209" s="75"/>
      <c r="AW209" s="75"/>
      <c r="AX209" s="75"/>
      <c r="AY209" s="75"/>
      <c r="AZ209" s="75"/>
      <c r="BA209" s="75"/>
      <c r="BB209" s="75"/>
      <c r="BC209" s="17"/>
    </row>
    <row r="210" spans="11:55" ht="11.1" customHeight="1" x14ac:dyDescent="0.2">
      <c r="K210" s="21"/>
      <c r="L210" s="11"/>
      <c r="M210" s="45"/>
      <c r="P210" s="1"/>
      <c r="S210"/>
      <c r="U210" s="5"/>
      <c r="V210" s="17"/>
      <c r="X210" s="7"/>
      <c r="AG210" s="17"/>
      <c r="AL210" s="7"/>
      <c r="AR210" s="88"/>
      <c r="AS210" s="75"/>
      <c r="AT210" s="75"/>
      <c r="AU210" s="75"/>
      <c r="AV210" s="75"/>
      <c r="AW210" s="75"/>
      <c r="AX210" s="75"/>
      <c r="AY210" s="75"/>
      <c r="AZ210" s="75"/>
      <c r="BA210" s="75"/>
      <c r="BB210" s="75"/>
      <c r="BC210" s="17"/>
    </row>
    <row r="211" spans="11:55" ht="11.1" customHeight="1" x14ac:dyDescent="0.2">
      <c r="K211" s="21"/>
      <c r="L211" s="11"/>
      <c r="M211" s="45"/>
      <c r="P211" s="1"/>
      <c r="S211"/>
      <c r="U211" s="5"/>
      <c r="V211" s="17"/>
      <c r="X211" s="7"/>
      <c r="AG211" s="17"/>
      <c r="AL211" s="7"/>
      <c r="AR211" s="88"/>
      <c r="AS211" s="75"/>
      <c r="AT211" s="75"/>
      <c r="AU211" s="75"/>
      <c r="AV211" s="75"/>
      <c r="AW211" s="75"/>
      <c r="AX211" s="75"/>
      <c r="AY211" s="75"/>
      <c r="AZ211" s="75"/>
      <c r="BA211" s="75"/>
      <c r="BB211" s="75"/>
      <c r="BC211" s="17"/>
    </row>
    <row r="212" spans="11:55" ht="11.1" customHeight="1" x14ac:dyDescent="0.2">
      <c r="K212" s="21"/>
      <c r="L212" s="11"/>
      <c r="M212" s="45"/>
      <c r="P212" s="1"/>
      <c r="S212"/>
      <c r="U212" s="5"/>
      <c r="V212" s="17"/>
      <c r="X212" s="7"/>
      <c r="AG212" s="17"/>
      <c r="AL212" s="7"/>
      <c r="AR212" s="88"/>
      <c r="AS212" s="75"/>
      <c r="AT212" s="75"/>
      <c r="AU212" s="75"/>
      <c r="AV212" s="75"/>
      <c r="AW212" s="75"/>
      <c r="AX212" s="75"/>
      <c r="AY212" s="75"/>
      <c r="AZ212" s="75"/>
      <c r="BA212" s="75"/>
      <c r="BB212" s="75"/>
      <c r="BC212" s="17"/>
    </row>
    <row r="213" spans="11:55" ht="11.1" customHeight="1" x14ac:dyDescent="0.2">
      <c r="K213" s="21"/>
      <c r="L213" s="11"/>
      <c r="M213" s="45"/>
      <c r="P213" s="1"/>
      <c r="S213"/>
      <c r="U213" s="5"/>
      <c r="V213" s="17"/>
      <c r="X213" s="7"/>
      <c r="AG213" s="17"/>
      <c r="AL213" s="7"/>
      <c r="AR213" s="88"/>
      <c r="AS213" s="75"/>
      <c r="AT213" s="75"/>
      <c r="AU213" s="75"/>
      <c r="AV213" s="75"/>
      <c r="AW213" s="75"/>
      <c r="AX213" s="75"/>
      <c r="AY213" s="75"/>
      <c r="AZ213" s="75"/>
      <c r="BA213" s="75"/>
      <c r="BB213" s="75"/>
      <c r="BC213" s="17"/>
    </row>
    <row r="214" spans="11:55" ht="11.1" customHeight="1" x14ac:dyDescent="0.2">
      <c r="K214" s="21"/>
      <c r="L214" s="11"/>
      <c r="M214" s="45"/>
      <c r="P214" s="1"/>
      <c r="S214"/>
      <c r="U214" s="5"/>
      <c r="V214" s="17"/>
      <c r="X214" s="7"/>
      <c r="AG214" s="17"/>
      <c r="AL214" s="7"/>
      <c r="AR214" s="88"/>
      <c r="AS214" s="75"/>
      <c r="AT214" s="75"/>
      <c r="AU214" s="75"/>
      <c r="AV214" s="75"/>
      <c r="AW214" s="75"/>
      <c r="AX214" s="75"/>
      <c r="AY214" s="75"/>
      <c r="AZ214" s="75"/>
      <c r="BA214" s="75"/>
      <c r="BB214" s="75"/>
      <c r="BC214" s="17"/>
    </row>
    <row r="215" spans="11:55" ht="11.1" customHeight="1" x14ac:dyDescent="0.2">
      <c r="K215" s="21"/>
      <c r="L215" s="11"/>
      <c r="M215" s="45"/>
      <c r="P215" s="1"/>
      <c r="S215"/>
      <c r="U215" s="5"/>
      <c r="V215" s="17"/>
      <c r="X215" s="7"/>
      <c r="AG215" s="17"/>
      <c r="AL215" s="7"/>
      <c r="AR215" s="88"/>
      <c r="AS215" s="75"/>
      <c r="AT215" s="75"/>
      <c r="AU215" s="75"/>
      <c r="AV215" s="75"/>
      <c r="AW215" s="75"/>
      <c r="AX215" s="75"/>
      <c r="AY215" s="75"/>
      <c r="AZ215" s="75"/>
      <c r="BA215" s="75"/>
      <c r="BB215" s="75"/>
      <c r="BC215" s="17"/>
    </row>
    <row r="216" spans="11:55" ht="11.1" customHeight="1" x14ac:dyDescent="0.2">
      <c r="K216" s="21"/>
      <c r="L216" s="11"/>
      <c r="M216" s="45"/>
      <c r="P216" s="1"/>
      <c r="S216"/>
      <c r="U216" s="5"/>
      <c r="V216" s="17"/>
      <c r="X216" s="7"/>
      <c r="AG216" s="17"/>
      <c r="AL216" s="7"/>
      <c r="AR216" s="88"/>
      <c r="AS216" s="75"/>
      <c r="AT216" s="75"/>
      <c r="AU216" s="75"/>
      <c r="AV216" s="75"/>
      <c r="AW216" s="75"/>
      <c r="AX216" s="75"/>
      <c r="AY216" s="75"/>
      <c r="AZ216" s="75"/>
      <c r="BA216" s="75"/>
      <c r="BB216" s="75"/>
      <c r="BC216" s="17"/>
    </row>
    <row r="217" spans="11:55" ht="11.1" customHeight="1" x14ac:dyDescent="0.2">
      <c r="K217" s="21"/>
      <c r="L217" s="11"/>
      <c r="M217" s="45"/>
      <c r="P217" s="1"/>
      <c r="S217"/>
      <c r="U217" s="5"/>
      <c r="V217" s="17"/>
      <c r="X217" s="7"/>
      <c r="AG217" s="17"/>
      <c r="AL217" s="7"/>
      <c r="AR217" s="88"/>
      <c r="AS217" s="75"/>
      <c r="AT217" s="75"/>
      <c r="AU217" s="75"/>
      <c r="AV217" s="75"/>
      <c r="AW217" s="75"/>
      <c r="AX217" s="75"/>
      <c r="AY217" s="75"/>
      <c r="AZ217" s="75"/>
      <c r="BA217" s="75"/>
      <c r="BB217" s="75"/>
      <c r="BC217" s="17"/>
    </row>
    <row r="218" spans="11:55" ht="11.1" customHeight="1" x14ac:dyDescent="0.2">
      <c r="K218" s="21"/>
      <c r="L218" s="11"/>
      <c r="M218" s="45"/>
      <c r="P218" s="1"/>
      <c r="S218"/>
      <c r="U218" s="5"/>
      <c r="V218" s="17"/>
      <c r="X218" s="7"/>
      <c r="AG218" s="17"/>
      <c r="AL218" s="7"/>
      <c r="AR218" s="88"/>
      <c r="AS218" s="75"/>
      <c r="AT218" s="75"/>
      <c r="AU218" s="75"/>
      <c r="AV218" s="75"/>
      <c r="AW218" s="75"/>
      <c r="AX218" s="75"/>
      <c r="AY218" s="75"/>
      <c r="AZ218" s="75"/>
      <c r="BA218" s="75"/>
      <c r="BB218" s="75"/>
      <c r="BC218" s="17"/>
    </row>
    <row r="219" spans="11:55" ht="11.1" customHeight="1" x14ac:dyDescent="0.2">
      <c r="K219" s="21"/>
      <c r="L219" s="11"/>
      <c r="M219" s="45"/>
      <c r="P219" s="1"/>
      <c r="S219"/>
      <c r="U219" s="5"/>
      <c r="V219" s="17"/>
      <c r="X219" s="7"/>
      <c r="AG219" s="17"/>
      <c r="AL219" s="7"/>
      <c r="AR219" s="88"/>
      <c r="AS219" s="75"/>
      <c r="AT219" s="75"/>
      <c r="AU219" s="75"/>
      <c r="AV219" s="75"/>
      <c r="AW219" s="75"/>
      <c r="AX219" s="75"/>
      <c r="AY219" s="75"/>
      <c r="AZ219" s="75"/>
      <c r="BA219" s="75"/>
      <c r="BB219" s="75"/>
      <c r="BC219" s="17"/>
    </row>
    <row r="220" spans="11:55" ht="11.1" customHeight="1" x14ac:dyDescent="0.2">
      <c r="K220" s="21"/>
      <c r="L220" s="11"/>
      <c r="M220" s="45"/>
      <c r="P220" s="1"/>
      <c r="S220"/>
      <c r="U220" s="5"/>
      <c r="V220" s="17"/>
      <c r="X220" s="7"/>
      <c r="AG220" s="17"/>
      <c r="AL220" s="7"/>
      <c r="AR220" s="88"/>
      <c r="AS220" s="75"/>
      <c r="AT220" s="75"/>
      <c r="AU220" s="75"/>
      <c r="AV220" s="75"/>
      <c r="AW220" s="75"/>
      <c r="AX220" s="75"/>
      <c r="AY220" s="75"/>
      <c r="AZ220" s="75"/>
      <c r="BA220" s="75"/>
      <c r="BB220" s="75"/>
      <c r="BC220" s="17"/>
    </row>
    <row r="221" spans="11:55" ht="11.1" customHeight="1" x14ac:dyDescent="0.2">
      <c r="K221" s="21"/>
      <c r="L221" s="11"/>
      <c r="M221" s="45"/>
      <c r="P221" s="1"/>
      <c r="S221"/>
      <c r="U221" s="5"/>
      <c r="V221" s="17"/>
      <c r="X221" s="7"/>
      <c r="AG221" s="17"/>
      <c r="AL221" s="7"/>
      <c r="AR221" s="88"/>
      <c r="AS221" s="75"/>
      <c r="AT221" s="75"/>
      <c r="AU221" s="75"/>
      <c r="AV221" s="75"/>
      <c r="AW221" s="75"/>
      <c r="AX221" s="75"/>
      <c r="AY221" s="75"/>
      <c r="AZ221" s="75"/>
      <c r="BA221" s="75"/>
      <c r="BB221" s="75"/>
      <c r="BC221" s="17"/>
    </row>
    <row r="222" spans="11:55" ht="11.1" customHeight="1" x14ac:dyDescent="0.2">
      <c r="K222" s="21"/>
      <c r="L222" s="11"/>
      <c r="M222" s="45"/>
      <c r="P222" s="1"/>
      <c r="S222"/>
      <c r="U222" s="5"/>
      <c r="V222" s="17"/>
      <c r="X222" s="7"/>
      <c r="AG222" s="17"/>
      <c r="AL222" s="7"/>
      <c r="AR222" s="88"/>
      <c r="AS222" s="75"/>
      <c r="AT222" s="75"/>
      <c r="AU222" s="75"/>
      <c r="AV222" s="75"/>
      <c r="AW222" s="75"/>
      <c r="AX222" s="75"/>
      <c r="AY222" s="75"/>
      <c r="AZ222" s="75"/>
      <c r="BA222" s="75"/>
      <c r="BB222" s="75"/>
      <c r="BC222" s="17"/>
    </row>
    <row r="223" spans="11:55" ht="11.1" customHeight="1" x14ac:dyDescent="0.2">
      <c r="K223" s="21"/>
      <c r="L223" s="11"/>
      <c r="M223" s="45"/>
      <c r="P223" s="1"/>
      <c r="S223"/>
      <c r="U223" s="5"/>
      <c r="V223" s="17"/>
      <c r="X223" s="7"/>
      <c r="AG223" s="17"/>
      <c r="AL223" s="7"/>
      <c r="AR223" s="88"/>
      <c r="AS223" s="75"/>
      <c r="AT223" s="75"/>
      <c r="AU223" s="75"/>
      <c r="AV223" s="75"/>
      <c r="AW223" s="75"/>
      <c r="AX223" s="75"/>
      <c r="AY223" s="75"/>
      <c r="AZ223" s="75"/>
      <c r="BA223" s="75"/>
      <c r="BB223" s="75"/>
      <c r="BC223" s="17"/>
    </row>
    <row r="224" spans="11:55" ht="11.1" customHeight="1" x14ac:dyDescent="0.2">
      <c r="K224" s="21"/>
      <c r="L224" s="11"/>
      <c r="M224" s="45"/>
      <c r="P224" s="1"/>
      <c r="S224"/>
      <c r="U224" s="5"/>
      <c r="V224" s="17"/>
      <c r="X224" s="7"/>
      <c r="AG224" s="17"/>
      <c r="AL224" s="7"/>
      <c r="AR224" s="88"/>
      <c r="AS224" s="75"/>
      <c r="AT224" s="75"/>
      <c r="AU224" s="75"/>
      <c r="AV224" s="75"/>
      <c r="AW224" s="75"/>
      <c r="AX224" s="75"/>
      <c r="AY224" s="75"/>
      <c r="AZ224" s="75"/>
      <c r="BA224" s="75"/>
      <c r="BB224" s="75"/>
      <c r="BC224" s="17"/>
    </row>
    <row r="225" spans="11:55" ht="11.1" customHeight="1" x14ac:dyDescent="0.2">
      <c r="K225" s="21"/>
      <c r="L225" s="11"/>
      <c r="M225" s="45"/>
      <c r="P225" s="1"/>
      <c r="S225"/>
      <c r="U225" s="5"/>
      <c r="V225" s="17"/>
      <c r="X225" s="7"/>
      <c r="AG225" s="17"/>
      <c r="AL225" s="7"/>
      <c r="AR225" s="88"/>
      <c r="AS225" s="75"/>
      <c r="AT225" s="75"/>
      <c r="AU225" s="75"/>
      <c r="AV225" s="75"/>
      <c r="AW225" s="75"/>
      <c r="AX225" s="75"/>
      <c r="AY225" s="75"/>
      <c r="AZ225" s="75"/>
      <c r="BA225" s="75"/>
      <c r="BB225" s="75"/>
      <c r="BC225" s="17"/>
    </row>
    <row r="226" spans="11:55" ht="11.1" customHeight="1" x14ac:dyDescent="0.2">
      <c r="K226" s="21"/>
      <c r="L226" s="11"/>
      <c r="M226" s="45"/>
      <c r="P226" s="1"/>
      <c r="S226"/>
      <c r="U226" s="5"/>
      <c r="V226" s="17"/>
      <c r="X226" s="7"/>
      <c r="AG226" s="17"/>
      <c r="AL226" s="7"/>
      <c r="AR226" s="88"/>
      <c r="AS226" s="75"/>
      <c r="AT226" s="75"/>
      <c r="AU226" s="75"/>
      <c r="AV226" s="75"/>
      <c r="AW226" s="75"/>
      <c r="AX226" s="75"/>
      <c r="AY226" s="75"/>
      <c r="AZ226" s="75"/>
      <c r="BA226" s="75"/>
      <c r="BB226" s="75"/>
      <c r="BC226" s="17"/>
    </row>
    <row r="227" spans="11:55" ht="11.1" customHeight="1" x14ac:dyDescent="0.2">
      <c r="K227" s="21"/>
      <c r="L227" s="11"/>
      <c r="M227" s="45"/>
      <c r="P227" s="1"/>
      <c r="S227"/>
      <c r="U227" s="5"/>
      <c r="V227" s="17"/>
      <c r="X227" s="7"/>
      <c r="AG227" s="17"/>
      <c r="AL227" s="7"/>
      <c r="AR227" s="88"/>
      <c r="AS227" s="75"/>
      <c r="AT227" s="75"/>
      <c r="AU227" s="75"/>
      <c r="AV227" s="75"/>
      <c r="AW227" s="75"/>
      <c r="AX227" s="75"/>
      <c r="AY227" s="75"/>
      <c r="AZ227" s="75"/>
      <c r="BA227" s="75"/>
      <c r="BB227" s="75"/>
      <c r="BC227" s="17"/>
    </row>
    <row r="228" spans="11:55" ht="11.1" customHeight="1" x14ac:dyDescent="0.2">
      <c r="K228" s="21"/>
      <c r="L228" s="11"/>
      <c r="M228" s="45"/>
      <c r="P228" s="1"/>
      <c r="S228"/>
      <c r="U228" s="5"/>
      <c r="V228" s="17"/>
      <c r="X228" s="7"/>
      <c r="AG228" s="17"/>
      <c r="AL228" s="7"/>
      <c r="AR228" s="88"/>
      <c r="AS228" s="75"/>
      <c r="AT228" s="75"/>
      <c r="AU228" s="75"/>
      <c r="AV228" s="75"/>
      <c r="AW228" s="75"/>
      <c r="AX228" s="75"/>
      <c r="AY228" s="75"/>
      <c r="AZ228" s="75"/>
      <c r="BA228" s="75"/>
      <c r="BB228" s="75"/>
      <c r="BC228" s="17"/>
    </row>
    <row r="229" spans="11:55" ht="11.1" customHeight="1" x14ac:dyDescent="0.2">
      <c r="K229" s="21"/>
      <c r="L229" s="11"/>
      <c r="M229" s="45"/>
      <c r="P229" s="1"/>
      <c r="S229"/>
      <c r="U229" s="5"/>
      <c r="V229" s="17"/>
      <c r="X229" s="7"/>
      <c r="AG229" s="17"/>
      <c r="AL229" s="7"/>
      <c r="AR229" s="88"/>
      <c r="AS229" s="75"/>
      <c r="AT229" s="75"/>
      <c r="AU229" s="75"/>
      <c r="AV229" s="75"/>
      <c r="AW229" s="75"/>
      <c r="AX229" s="75"/>
      <c r="AY229" s="75"/>
      <c r="AZ229" s="75"/>
      <c r="BA229" s="75"/>
      <c r="BB229" s="75"/>
      <c r="BC229" s="17"/>
    </row>
    <row r="230" spans="11:55" ht="11.1" customHeight="1" x14ac:dyDescent="0.2">
      <c r="K230" s="21"/>
      <c r="L230" s="11"/>
      <c r="M230" s="45"/>
      <c r="P230" s="1"/>
      <c r="S230"/>
      <c r="U230" s="5"/>
      <c r="V230" s="17"/>
      <c r="X230" s="7"/>
      <c r="AG230" s="17"/>
      <c r="AL230" s="7"/>
      <c r="AR230" s="88"/>
      <c r="AS230" s="75"/>
      <c r="AT230" s="75"/>
      <c r="AU230" s="75"/>
      <c r="AV230" s="75"/>
      <c r="AW230" s="75"/>
      <c r="AX230" s="75"/>
      <c r="AY230" s="75"/>
      <c r="AZ230" s="75"/>
      <c r="BA230" s="75"/>
      <c r="BB230" s="75"/>
      <c r="BC230" s="17"/>
    </row>
    <row r="231" spans="11:55" ht="11.1" customHeight="1" x14ac:dyDescent="0.2">
      <c r="K231" s="21"/>
      <c r="L231" s="11"/>
      <c r="M231" s="45"/>
      <c r="P231" s="1"/>
      <c r="S231"/>
      <c r="U231" s="5"/>
      <c r="V231" s="17"/>
      <c r="X231" s="7"/>
      <c r="AG231" s="17"/>
      <c r="AL231" s="7"/>
      <c r="AR231" s="88"/>
      <c r="AS231" s="75"/>
      <c r="AT231" s="75"/>
      <c r="AU231" s="75"/>
      <c r="AV231" s="75"/>
      <c r="AW231" s="75"/>
      <c r="AX231" s="75"/>
      <c r="AY231" s="75"/>
      <c r="AZ231" s="75"/>
      <c r="BA231" s="75"/>
      <c r="BB231" s="75"/>
      <c r="BC231" s="17"/>
    </row>
    <row r="232" spans="11:55" ht="11.1" customHeight="1" x14ac:dyDescent="0.2">
      <c r="K232" s="21"/>
      <c r="L232" s="11"/>
      <c r="M232" s="45"/>
      <c r="P232" s="1"/>
      <c r="S232"/>
      <c r="U232" s="5"/>
      <c r="V232" s="17"/>
      <c r="X232" s="7"/>
      <c r="AG232" s="17"/>
      <c r="AL232" s="7"/>
      <c r="AR232" s="88"/>
      <c r="AS232" s="75"/>
      <c r="AT232" s="75"/>
      <c r="AU232" s="75"/>
      <c r="AV232" s="75"/>
      <c r="AW232" s="75"/>
      <c r="AX232" s="75"/>
      <c r="AY232" s="75"/>
      <c r="AZ232" s="75"/>
      <c r="BA232" s="75"/>
      <c r="BB232" s="75"/>
      <c r="BC232" s="17"/>
    </row>
    <row r="233" spans="11:55" ht="11.1" customHeight="1" x14ac:dyDescent="0.2">
      <c r="K233" s="21"/>
      <c r="L233" s="11"/>
      <c r="M233" s="45"/>
      <c r="P233" s="1"/>
      <c r="S233"/>
      <c r="U233" s="5"/>
      <c r="V233" s="17"/>
      <c r="X233" s="7"/>
      <c r="AG233" s="17"/>
      <c r="AL233" s="7"/>
      <c r="AR233" s="88"/>
      <c r="AS233" s="75"/>
      <c r="AT233" s="75"/>
      <c r="AU233" s="75"/>
      <c r="AV233" s="75"/>
      <c r="AW233" s="75"/>
      <c r="AX233" s="75"/>
      <c r="AY233" s="75"/>
      <c r="AZ233" s="75"/>
      <c r="BA233" s="75"/>
      <c r="BB233" s="75"/>
      <c r="BC233" s="17"/>
    </row>
    <row r="234" spans="11:55" ht="11.1" customHeight="1" x14ac:dyDescent="0.2">
      <c r="K234" s="21"/>
      <c r="L234" s="11"/>
      <c r="M234" s="45"/>
      <c r="P234" s="1"/>
      <c r="S234"/>
      <c r="U234" s="5"/>
      <c r="V234" s="17"/>
      <c r="X234" s="7"/>
      <c r="AG234" s="17"/>
      <c r="AL234" s="7"/>
      <c r="AR234" s="88"/>
      <c r="AS234" s="75"/>
      <c r="AT234" s="75"/>
      <c r="AU234" s="75"/>
      <c r="AV234" s="75"/>
      <c r="AW234" s="75"/>
      <c r="AX234" s="75"/>
      <c r="AY234" s="75"/>
      <c r="AZ234" s="75"/>
      <c r="BA234" s="75"/>
      <c r="BB234" s="75"/>
      <c r="BC234" s="17"/>
    </row>
    <row r="235" spans="11:55" ht="11.1" customHeight="1" x14ac:dyDescent="0.2">
      <c r="K235" s="21"/>
      <c r="L235" s="11"/>
      <c r="M235" s="45"/>
      <c r="P235" s="1"/>
      <c r="S235"/>
      <c r="U235" s="5"/>
      <c r="V235" s="17"/>
      <c r="X235" s="7"/>
      <c r="AG235" s="17"/>
      <c r="AL235" s="7"/>
      <c r="AR235" s="88"/>
      <c r="AS235" s="75"/>
      <c r="AT235" s="75"/>
      <c r="AU235" s="75"/>
      <c r="AV235" s="75"/>
      <c r="AW235" s="75"/>
      <c r="AX235" s="75"/>
      <c r="AY235" s="75"/>
      <c r="AZ235" s="75"/>
      <c r="BA235" s="75"/>
      <c r="BB235" s="75"/>
      <c r="BC235" s="17"/>
    </row>
    <row r="236" spans="11:55" ht="11.1" customHeight="1" x14ac:dyDescent="0.2">
      <c r="K236" s="21"/>
      <c r="L236" s="11"/>
      <c r="M236" s="45"/>
      <c r="P236" s="1"/>
      <c r="S236"/>
      <c r="U236" s="5"/>
      <c r="V236" s="17"/>
      <c r="X236" s="7"/>
      <c r="AG236" s="17"/>
      <c r="AL236" s="7"/>
      <c r="AR236" s="88"/>
      <c r="AS236" s="75"/>
      <c r="AT236" s="75"/>
      <c r="AU236" s="75"/>
      <c r="AV236" s="75"/>
      <c r="AW236" s="75"/>
      <c r="AX236" s="75"/>
      <c r="AY236" s="75"/>
      <c r="AZ236" s="75"/>
      <c r="BA236" s="75"/>
      <c r="BB236" s="75"/>
      <c r="BC236" s="17"/>
    </row>
    <row r="237" spans="11:55" ht="11.1" customHeight="1" x14ac:dyDescent="0.2">
      <c r="K237" s="21"/>
      <c r="L237" s="11"/>
      <c r="M237" s="45"/>
      <c r="P237" s="1"/>
      <c r="S237"/>
      <c r="U237" s="5"/>
      <c r="V237" s="17"/>
      <c r="X237" s="7"/>
      <c r="AG237" s="17"/>
      <c r="AL237" s="7"/>
      <c r="AR237" s="88"/>
      <c r="AS237" s="75"/>
      <c r="AT237" s="75"/>
      <c r="AU237" s="75"/>
      <c r="AV237" s="75"/>
      <c r="AW237" s="75"/>
      <c r="AX237" s="75"/>
      <c r="AY237" s="75"/>
      <c r="AZ237" s="75"/>
      <c r="BA237" s="75"/>
      <c r="BB237" s="75"/>
      <c r="BC237" s="17"/>
    </row>
    <row r="238" spans="11:55" ht="11.1" customHeight="1" x14ac:dyDescent="0.2">
      <c r="K238" s="21"/>
      <c r="L238" s="11"/>
      <c r="M238" s="45"/>
      <c r="P238" s="1"/>
      <c r="S238"/>
      <c r="U238" s="5"/>
      <c r="V238" s="17"/>
      <c r="X238" s="7"/>
      <c r="AG238" s="17"/>
      <c r="AL238" s="7"/>
      <c r="AR238" s="88"/>
      <c r="AS238" s="75"/>
      <c r="AT238" s="75"/>
      <c r="AU238" s="75"/>
      <c r="AV238" s="75"/>
      <c r="AW238" s="75"/>
      <c r="AX238" s="75"/>
      <c r="AY238" s="75"/>
      <c r="AZ238" s="75"/>
      <c r="BA238" s="75"/>
      <c r="BB238" s="75"/>
      <c r="BC238" s="17"/>
    </row>
    <row r="239" spans="11:55" ht="11.1" customHeight="1" x14ac:dyDescent="0.2">
      <c r="K239" s="21"/>
      <c r="L239" s="11"/>
      <c r="M239" s="45"/>
      <c r="P239" s="1"/>
      <c r="S239"/>
      <c r="U239" s="5"/>
      <c r="V239" s="17"/>
      <c r="X239" s="7"/>
      <c r="AG239" s="17"/>
      <c r="AL239" s="7"/>
      <c r="AR239" s="88"/>
      <c r="AS239" s="75"/>
      <c r="AT239" s="75"/>
      <c r="AU239" s="75"/>
      <c r="AV239" s="75"/>
      <c r="AW239" s="75"/>
      <c r="AX239" s="75"/>
      <c r="AY239" s="75"/>
      <c r="AZ239" s="75"/>
      <c r="BA239" s="75"/>
      <c r="BB239" s="75"/>
      <c r="BC239" s="17"/>
    </row>
    <row r="240" spans="11:55" ht="11.1" customHeight="1" x14ac:dyDescent="0.2">
      <c r="K240" s="21"/>
      <c r="L240" s="11"/>
      <c r="M240" s="45"/>
      <c r="P240" s="1"/>
      <c r="S240"/>
      <c r="U240" s="5"/>
      <c r="V240" s="17"/>
      <c r="X240" s="7"/>
      <c r="AG240" s="17"/>
      <c r="AL240" s="7"/>
      <c r="AR240" s="88"/>
      <c r="AS240" s="75"/>
      <c r="AT240" s="75"/>
      <c r="AU240" s="75"/>
      <c r="AV240" s="75"/>
      <c r="AW240" s="75"/>
      <c r="AX240" s="75"/>
      <c r="AY240" s="75"/>
      <c r="AZ240" s="75"/>
      <c r="BA240" s="75"/>
      <c r="BB240" s="75"/>
      <c r="BC240" s="17"/>
    </row>
    <row r="241" spans="11:55" ht="11.1" customHeight="1" x14ac:dyDescent="0.2">
      <c r="K241" s="21"/>
      <c r="L241" s="11"/>
      <c r="M241" s="45"/>
      <c r="P241" s="1"/>
      <c r="S241"/>
      <c r="U241" s="5"/>
      <c r="V241" s="17"/>
      <c r="X241" s="7"/>
      <c r="AG241" s="17"/>
      <c r="AL241" s="7"/>
      <c r="AR241" s="88"/>
      <c r="AS241" s="75"/>
      <c r="AT241" s="75"/>
      <c r="AU241" s="75"/>
      <c r="AV241" s="75"/>
      <c r="AW241" s="75"/>
      <c r="AX241" s="75"/>
      <c r="AY241" s="75"/>
      <c r="AZ241" s="75"/>
      <c r="BA241" s="75"/>
      <c r="BB241" s="75"/>
      <c r="BC241" s="17"/>
    </row>
    <row r="242" spans="11:55" ht="11.1" customHeight="1" x14ac:dyDescent="0.2">
      <c r="K242" s="21"/>
      <c r="L242" s="11"/>
      <c r="M242" s="45"/>
      <c r="P242" s="1"/>
      <c r="S242"/>
      <c r="U242" s="5"/>
      <c r="V242" s="17"/>
      <c r="X242" s="7"/>
      <c r="AG242" s="17"/>
      <c r="AL242" s="7"/>
      <c r="AR242" s="88"/>
      <c r="AS242" s="75"/>
      <c r="AT242" s="75"/>
      <c r="AU242" s="75"/>
      <c r="AV242" s="75"/>
      <c r="AW242" s="75"/>
      <c r="AX242" s="75"/>
      <c r="AY242" s="75"/>
      <c r="AZ242" s="75"/>
      <c r="BA242" s="75"/>
      <c r="BB242" s="75"/>
      <c r="BC242" s="17"/>
    </row>
    <row r="243" spans="11:55" ht="11.1" customHeight="1" x14ac:dyDescent="0.2">
      <c r="K243" s="21"/>
      <c r="L243" s="11"/>
      <c r="M243" s="45"/>
      <c r="P243" s="1"/>
      <c r="S243"/>
      <c r="U243" s="5"/>
      <c r="V243" s="17"/>
      <c r="X243" s="7"/>
      <c r="AG243" s="17"/>
      <c r="AL243" s="7"/>
      <c r="AR243" s="88"/>
      <c r="AS243" s="75"/>
      <c r="AT243" s="75"/>
      <c r="AU243" s="75"/>
      <c r="AV243" s="75"/>
      <c r="AW243" s="75"/>
      <c r="AX243" s="75"/>
      <c r="AY243" s="75"/>
      <c r="AZ243" s="75"/>
      <c r="BA243" s="75"/>
      <c r="BB243" s="75"/>
      <c r="BC243" s="17"/>
    </row>
    <row r="244" spans="11:55" ht="11.1" customHeight="1" x14ac:dyDescent="0.2">
      <c r="K244" s="21"/>
      <c r="L244" s="11"/>
      <c r="M244" s="45"/>
      <c r="P244" s="1"/>
      <c r="S244"/>
      <c r="U244" s="5"/>
      <c r="V244" s="17"/>
      <c r="X244" s="7"/>
      <c r="AG244" s="17"/>
      <c r="AL244" s="7"/>
      <c r="AR244" s="88"/>
      <c r="AS244" s="75"/>
      <c r="AT244" s="75"/>
      <c r="AU244" s="75"/>
      <c r="AV244" s="75"/>
      <c r="AW244" s="75"/>
      <c r="AX244" s="75"/>
      <c r="AY244" s="75"/>
      <c r="AZ244" s="75"/>
      <c r="BA244" s="75"/>
      <c r="BB244" s="75"/>
      <c r="BC244" s="17"/>
    </row>
    <row r="245" spans="11:55" ht="11.1" customHeight="1" x14ac:dyDescent="0.2">
      <c r="K245" s="21"/>
      <c r="L245" s="11"/>
      <c r="M245" s="45"/>
      <c r="P245" s="1"/>
      <c r="S245"/>
      <c r="U245" s="5"/>
      <c r="V245" s="17"/>
      <c r="X245" s="7"/>
      <c r="AG245" s="17"/>
      <c r="AL245" s="7"/>
      <c r="AR245" s="88"/>
      <c r="AS245" s="75"/>
      <c r="AT245" s="75"/>
      <c r="AU245" s="75"/>
      <c r="AV245" s="75"/>
      <c r="AW245" s="75"/>
      <c r="AX245" s="75"/>
      <c r="AY245" s="75"/>
      <c r="AZ245" s="75"/>
      <c r="BA245" s="75"/>
      <c r="BB245" s="75"/>
      <c r="BC245" s="17"/>
    </row>
    <row r="246" spans="11:55" ht="11.1" customHeight="1" x14ac:dyDescent="0.2">
      <c r="K246" s="21"/>
      <c r="L246" s="11"/>
      <c r="M246" s="45"/>
      <c r="P246" s="1"/>
      <c r="S246"/>
      <c r="U246" s="5"/>
      <c r="V246" s="17"/>
      <c r="X246" s="7"/>
      <c r="AG246" s="17"/>
      <c r="AL246" s="7"/>
      <c r="AR246" s="88"/>
      <c r="AS246" s="75"/>
      <c r="AT246" s="75"/>
      <c r="AU246" s="75"/>
      <c r="AV246" s="75"/>
      <c r="AW246" s="75"/>
      <c r="AX246" s="75"/>
      <c r="AY246" s="75"/>
      <c r="AZ246" s="75"/>
      <c r="BA246" s="75"/>
      <c r="BB246" s="75"/>
      <c r="BC246" s="17"/>
    </row>
    <row r="247" spans="11:55" ht="11.1" customHeight="1" x14ac:dyDescent="0.2">
      <c r="K247" s="21"/>
      <c r="L247" s="11"/>
      <c r="M247" s="45"/>
      <c r="P247" s="1"/>
      <c r="S247"/>
      <c r="U247" s="5"/>
      <c r="V247" s="17"/>
      <c r="X247" s="7"/>
      <c r="AG247" s="17"/>
      <c r="AL247" s="7"/>
      <c r="AR247" s="88"/>
      <c r="AS247" s="75"/>
      <c r="AT247" s="75"/>
      <c r="AU247" s="75"/>
      <c r="AV247" s="75"/>
      <c r="AW247" s="75"/>
      <c r="AX247" s="75"/>
      <c r="AY247" s="75"/>
      <c r="AZ247" s="75"/>
      <c r="BA247" s="75"/>
      <c r="BB247" s="75"/>
      <c r="BC247" s="17"/>
    </row>
    <row r="248" spans="11:55" ht="11.1" customHeight="1" x14ac:dyDescent="0.2">
      <c r="K248"/>
      <c r="L248"/>
      <c r="M248" s="5"/>
      <c r="P248" s="1"/>
      <c r="S248"/>
      <c r="U248" s="5"/>
      <c r="V248" s="17"/>
      <c r="X248" s="7"/>
      <c r="AG248" s="17"/>
      <c r="AL248" s="7"/>
      <c r="BB248" s="75"/>
      <c r="BC248" s="17"/>
    </row>
    <row r="249" spans="11:55" ht="11.1" customHeight="1" x14ac:dyDescent="0.2">
      <c r="K249"/>
      <c r="L249"/>
      <c r="M249" s="5"/>
      <c r="P249" s="1"/>
      <c r="S249"/>
      <c r="U249" s="5"/>
      <c r="V249" s="17"/>
      <c r="X249" s="7"/>
      <c r="AG249" s="17"/>
      <c r="AL249" s="7"/>
      <c r="BC249" s="17"/>
    </row>
    <row r="250" spans="11:55" ht="11.1" customHeight="1" x14ac:dyDescent="0.2">
      <c r="K250"/>
      <c r="L250"/>
      <c r="M250" s="5"/>
      <c r="P250" s="1"/>
      <c r="S250"/>
      <c r="U250" s="5"/>
      <c r="V250" s="17"/>
      <c r="X250" s="7"/>
      <c r="AG250" s="17"/>
      <c r="AL250" s="7"/>
      <c r="BC250" s="17"/>
    </row>
    <row r="251" spans="11:55" ht="11.1" customHeight="1" x14ac:dyDescent="0.2">
      <c r="K251"/>
      <c r="L251"/>
      <c r="M251" s="5"/>
      <c r="P251" s="1"/>
      <c r="S251"/>
      <c r="U251" s="5"/>
      <c r="V251" s="17"/>
      <c r="X251" s="7"/>
      <c r="AG251" s="17"/>
      <c r="AL251" s="7"/>
      <c r="BC251" s="17"/>
    </row>
    <row r="252" spans="11:55" ht="11.1" customHeight="1" x14ac:dyDescent="0.2">
      <c r="K252"/>
      <c r="L252"/>
      <c r="M252" s="5"/>
      <c r="P252" s="1"/>
      <c r="S252"/>
      <c r="U252" s="5"/>
      <c r="V252" s="17"/>
      <c r="X252" s="7"/>
      <c r="AG252" s="17"/>
      <c r="AL252" s="7"/>
      <c r="BC252" s="17"/>
    </row>
    <row r="253" spans="11:55" ht="11.1" customHeight="1" x14ac:dyDescent="0.2">
      <c r="K253"/>
      <c r="L253"/>
      <c r="M253" s="5"/>
      <c r="P253" s="1"/>
      <c r="S253"/>
      <c r="U253" s="5"/>
      <c r="V253" s="17"/>
      <c r="X253" s="7"/>
      <c r="AG253" s="17"/>
      <c r="AL253" s="7"/>
      <c r="BC253" s="17"/>
    </row>
    <row r="254" spans="11:55" ht="11.1" customHeight="1" x14ac:dyDescent="0.2">
      <c r="K254"/>
      <c r="L254"/>
      <c r="M254" s="5"/>
      <c r="P254" s="1"/>
      <c r="S254"/>
      <c r="U254" s="5"/>
      <c r="V254" s="17"/>
      <c r="X254" s="7"/>
      <c r="AG254" s="17"/>
      <c r="AL254" s="7"/>
      <c r="BC254" s="17"/>
    </row>
    <row r="255" spans="11:55" ht="11.1" customHeight="1" x14ac:dyDescent="0.2">
      <c r="L255" s="5"/>
      <c r="P255" s="1"/>
      <c r="S255"/>
      <c r="U255" s="5"/>
      <c r="V255" s="17"/>
      <c r="X255" s="7"/>
      <c r="AG255" s="17"/>
      <c r="AL255" s="7"/>
      <c r="BC255" s="17"/>
    </row>
    <row r="256" spans="11:55" ht="11.1" customHeight="1" x14ac:dyDescent="0.2">
      <c r="L256" s="5"/>
      <c r="P256" s="1"/>
      <c r="S256"/>
      <c r="U256" s="5"/>
      <c r="V256" s="17"/>
      <c r="X256" s="7"/>
      <c r="AG256" s="17"/>
      <c r="AL256" s="7"/>
      <c r="BC256" s="17"/>
    </row>
    <row r="257" spans="12:55" ht="11.1" customHeight="1" x14ac:dyDescent="0.2">
      <c r="L257" s="5"/>
      <c r="P257" s="1"/>
      <c r="S257"/>
      <c r="U257" s="5"/>
      <c r="V257" s="17"/>
      <c r="X257" s="7"/>
      <c r="AG257" s="17"/>
      <c r="AL257" s="7"/>
      <c r="BC257" s="17"/>
    </row>
    <row r="258" spans="12:55" ht="11.1" customHeight="1" x14ac:dyDescent="0.2">
      <c r="L258" s="5"/>
      <c r="P258" s="1"/>
      <c r="S258"/>
      <c r="U258" s="5"/>
      <c r="V258" s="17"/>
      <c r="X258" s="7"/>
      <c r="AG258" s="17"/>
      <c r="AL258" s="7"/>
      <c r="BC258" s="17"/>
    </row>
    <row r="259" spans="12:55" ht="11.1" customHeight="1" x14ac:dyDescent="0.2">
      <c r="L259" s="5"/>
      <c r="P259" s="1"/>
      <c r="S259"/>
      <c r="U259" s="5"/>
      <c r="V259" s="17"/>
      <c r="X259" s="7"/>
      <c r="AG259" s="17"/>
      <c r="AL259" s="7"/>
      <c r="BC259" s="17"/>
    </row>
    <row r="260" spans="12:55" ht="11.1" customHeight="1" x14ac:dyDescent="0.2">
      <c r="L260" s="5"/>
      <c r="P260" s="1"/>
      <c r="S260"/>
      <c r="U260" s="5"/>
      <c r="V260" s="17"/>
      <c r="X260" s="7"/>
      <c r="AG260" s="17"/>
      <c r="AL260" s="7"/>
      <c r="BC260" s="17"/>
    </row>
    <row r="261" spans="12:55" ht="11.1" customHeight="1" x14ac:dyDescent="0.2">
      <c r="L261" s="5"/>
      <c r="P261" s="1"/>
      <c r="S261"/>
      <c r="U261" s="5"/>
      <c r="V261" s="17"/>
      <c r="X261" s="7"/>
      <c r="AG261" s="17"/>
      <c r="AL261" s="7"/>
      <c r="BC261" s="17"/>
    </row>
    <row r="262" spans="12:55" ht="11.1" customHeight="1" x14ac:dyDescent="0.2">
      <c r="L262" s="5"/>
      <c r="P262" s="1"/>
      <c r="S262"/>
      <c r="U262" s="5"/>
      <c r="V262" s="17"/>
      <c r="X262" s="7"/>
      <c r="AG262" s="17"/>
      <c r="AL262" s="7"/>
      <c r="BC262" s="17"/>
    </row>
    <row r="263" spans="12:55" ht="11.1" customHeight="1" x14ac:dyDescent="0.2">
      <c r="L263" s="5"/>
      <c r="P263" s="1"/>
      <c r="S263"/>
      <c r="U263" s="5"/>
      <c r="V263" s="17"/>
      <c r="X263" s="7"/>
      <c r="AG263" s="17"/>
      <c r="AL263" s="7"/>
      <c r="BC263" s="17"/>
    </row>
    <row r="264" spans="12:55" ht="11.1" customHeight="1" x14ac:dyDescent="0.2">
      <c r="L264" s="5"/>
      <c r="P264" s="1"/>
      <c r="S264"/>
      <c r="U264" s="5"/>
      <c r="V264" s="17"/>
      <c r="X264" s="7"/>
      <c r="AG264" s="17"/>
      <c r="AL264" s="7"/>
      <c r="BC264" s="17"/>
    </row>
    <row r="265" spans="12:55" ht="11.1" customHeight="1" x14ac:dyDescent="0.2">
      <c r="L265" s="5"/>
      <c r="P265" s="1"/>
      <c r="S265"/>
      <c r="U265" s="5"/>
      <c r="V265" s="17"/>
      <c r="X265" s="7"/>
      <c r="AG265" s="17"/>
      <c r="AL265" s="7"/>
      <c r="BC265" s="17"/>
    </row>
    <row r="266" spans="12:55" ht="11.1" customHeight="1" x14ac:dyDescent="0.2">
      <c r="L266" s="5"/>
      <c r="P266" s="1"/>
      <c r="S266"/>
      <c r="U266" s="5"/>
      <c r="V266" s="17"/>
      <c r="X266" s="7"/>
      <c r="AG266" s="17"/>
      <c r="AL266" s="7"/>
      <c r="BC266" s="17"/>
    </row>
    <row r="267" spans="12:55" ht="11.1" customHeight="1" x14ac:dyDescent="0.2">
      <c r="L267" s="5"/>
      <c r="P267" s="1"/>
      <c r="S267"/>
      <c r="U267" s="5"/>
      <c r="V267" s="17"/>
      <c r="X267" s="7"/>
      <c r="AG267" s="17"/>
      <c r="AL267" s="7"/>
      <c r="BC267" s="17"/>
    </row>
    <row r="268" spans="12:55" ht="11.1" customHeight="1" x14ac:dyDescent="0.2">
      <c r="L268" s="5"/>
      <c r="P268" s="1"/>
      <c r="S268"/>
      <c r="U268" s="5"/>
      <c r="V268" s="17"/>
      <c r="X268" s="7"/>
      <c r="AG268" s="17"/>
      <c r="AL268" s="7"/>
      <c r="BC268" s="17"/>
    </row>
    <row r="269" spans="12:55" ht="11.1" customHeight="1" x14ac:dyDescent="0.2">
      <c r="L269" s="5"/>
      <c r="P269" s="1"/>
      <c r="S269"/>
      <c r="U269" s="5"/>
      <c r="V269" s="17"/>
      <c r="X269" s="7"/>
      <c r="AG269" s="17"/>
      <c r="AL269" s="7"/>
      <c r="BC269" s="17"/>
    </row>
    <row r="270" spans="12:55" ht="11.1" customHeight="1" x14ac:dyDescent="0.2">
      <c r="L270" s="5"/>
      <c r="P270" s="1"/>
      <c r="S270"/>
      <c r="U270" s="5"/>
      <c r="V270" s="17"/>
      <c r="X270" s="7"/>
      <c r="AG270" s="17"/>
      <c r="AL270" s="7"/>
      <c r="BC270" s="17"/>
    </row>
    <row r="271" spans="12:55" ht="11.1" customHeight="1" x14ac:dyDescent="0.2">
      <c r="L271" s="5"/>
      <c r="P271" s="1"/>
      <c r="S271"/>
      <c r="U271" s="5"/>
      <c r="V271" s="17"/>
      <c r="X271" s="7"/>
      <c r="AG271" s="17"/>
      <c r="AL271" s="7"/>
      <c r="BC271" s="17"/>
    </row>
    <row r="272" spans="12:55" ht="11.1" customHeight="1" x14ac:dyDescent="0.2">
      <c r="L272" s="5"/>
      <c r="P272" s="1"/>
      <c r="S272"/>
      <c r="U272" s="5"/>
      <c r="V272" s="17"/>
      <c r="X272" s="7"/>
      <c r="AG272" s="17"/>
      <c r="AL272" s="7"/>
      <c r="BC272" s="17"/>
    </row>
    <row r="273" spans="12:55" ht="11.1" customHeight="1" x14ac:dyDescent="0.2">
      <c r="L273" s="5"/>
      <c r="P273" s="1"/>
      <c r="S273"/>
      <c r="U273" s="5"/>
      <c r="V273" s="17"/>
      <c r="X273" s="7"/>
      <c r="AG273" s="17"/>
      <c r="AL273" s="7"/>
      <c r="BC273" s="17"/>
    </row>
    <row r="274" spans="12:55" ht="11.1" customHeight="1" x14ac:dyDescent="0.2">
      <c r="L274" s="5"/>
      <c r="P274" s="1"/>
      <c r="S274"/>
      <c r="U274" s="5"/>
      <c r="V274" s="17"/>
      <c r="X274" s="7"/>
      <c r="AG274" s="17"/>
      <c r="AL274" s="7"/>
      <c r="BC274" s="17"/>
    </row>
    <row r="275" spans="12:55" ht="11.1" customHeight="1" x14ac:dyDescent="0.2">
      <c r="L275" s="5"/>
      <c r="P275" s="1"/>
      <c r="S275"/>
      <c r="U275" s="5"/>
      <c r="V275" s="17"/>
      <c r="X275" s="7"/>
      <c r="AG275" s="17"/>
      <c r="AL275" s="7"/>
      <c r="BC275" s="17"/>
    </row>
    <row r="276" spans="12:55" ht="11.1" customHeight="1" x14ac:dyDescent="0.2">
      <c r="L276" s="5"/>
      <c r="P276" s="1"/>
      <c r="S276"/>
      <c r="U276" s="5"/>
      <c r="V276" s="17"/>
      <c r="X276" s="7"/>
      <c r="AG276" s="17"/>
      <c r="AL276" s="7"/>
      <c r="BC276" s="17"/>
    </row>
    <row r="277" spans="12:55" ht="11.1" customHeight="1" x14ac:dyDescent="0.2">
      <c r="L277" s="5"/>
      <c r="P277" s="1"/>
      <c r="S277"/>
      <c r="U277" s="5"/>
      <c r="V277" s="17"/>
      <c r="X277" s="7"/>
      <c r="AG277" s="17"/>
      <c r="AL277" s="7"/>
      <c r="BC277" s="17"/>
    </row>
    <row r="278" spans="12:55" ht="11.1" customHeight="1" x14ac:dyDescent="0.2">
      <c r="L278" s="5"/>
      <c r="P278" s="1"/>
      <c r="S278"/>
      <c r="U278" s="5"/>
      <c r="V278" s="17"/>
      <c r="X278" s="7"/>
      <c r="AG278" s="17"/>
      <c r="AL278" s="7"/>
      <c r="BC278" s="17"/>
    </row>
    <row r="279" spans="12:55" ht="11.1" customHeight="1" x14ac:dyDescent="0.2">
      <c r="L279" s="5"/>
      <c r="P279" s="1"/>
      <c r="S279"/>
      <c r="U279" s="5"/>
      <c r="V279" s="17"/>
      <c r="X279" s="7"/>
      <c r="AG279" s="17"/>
      <c r="AL279" s="7"/>
      <c r="BC279" s="17"/>
    </row>
    <row r="280" spans="12:55" ht="11.1" customHeight="1" x14ac:dyDescent="0.2">
      <c r="L280" s="5"/>
      <c r="P280" s="1"/>
      <c r="S280"/>
      <c r="U280" s="5"/>
      <c r="V280" s="17"/>
      <c r="X280" s="7"/>
      <c r="AG280" s="17"/>
      <c r="AL280" s="7"/>
      <c r="BC280" s="17"/>
    </row>
    <row r="281" spans="12:55" ht="11.1" customHeight="1" x14ac:dyDescent="0.2">
      <c r="L281" s="5"/>
      <c r="P281" s="1"/>
      <c r="S281"/>
      <c r="U281" s="5"/>
      <c r="V281" s="17"/>
      <c r="X281" s="7"/>
      <c r="AG281" s="17"/>
      <c r="AL281" s="7"/>
      <c r="BC281" s="17"/>
    </row>
    <row r="282" spans="12:55" ht="11.1" customHeight="1" x14ac:dyDescent="0.2">
      <c r="L282" s="5"/>
      <c r="P282" s="1"/>
      <c r="S282"/>
      <c r="U282" s="5"/>
      <c r="V282" s="17"/>
      <c r="X282" s="7"/>
      <c r="AG282" s="17"/>
      <c r="AL282" s="7"/>
      <c r="BC282" s="17"/>
    </row>
    <row r="283" spans="12:55" ht="11.1" customHeight="1" x14ac:dyDescent="0.2">
      <c r="L283" s="5"/>
      <c r="P283" s="1"/>
      <c r="S283"/>
      <c r="U283" s="5"/>
      <c r="V283" s="17"/>
      <c r="X283" s="7"/>
      <c r="AG283" s="17"/>
      <c r="AL283" s="7"/>
      <c r="BC283" s="17"/>
    </row>
    <row r="284" spans="12:55" ht="11.1" customHeight="1" x14ac:dyDescent="0.2">
      <c r="L284" s="5"/>
      <c r="P284" s="1"/>
      <c r="S284"/>
      <c r="U284" s="5"/>
      <c r="V284" s="17"/>
      <c r="X284" s="7"/>
      <c r="AG284" s="17"/>
      <c r="AL284" s="7"/>
      <c r="BC284" s="17"/>
    </row>
    <row r="285" spans="12:55" ht="11.1" customHeight="1" x14ac:dyDescent="0.2">
      <c r="L285" s="5"/>
      <c r="P285" s="1"/>
      <c r="S285"/>
      <c r="U285" s="5"/>
      <c r="V285" s="17"/>
      <c r="X285" s="7"/>
      <c r="AG285" s="17"/>
      <c r="AL285" s="7"/>
      <c r="BC285" s="17"/>
    </row>
    <row r="286" spans="12:55" ht="11.1" customHeight="1" x14ac:dyDescent="0.2">
      <c r="L286" s="5"/>
      <c r="P286" s="1"/>
      <c r="S286"/>
      <c r="U286" s="5"/>
      <c r="V286" s="17"/>
      <c r="X286" s="7"/>
      <c r="AG286" s="17"/>
      <c r="AL286" s="7"/>
      <c r="BC286" s="17"/>
    </row>
    <row r="287" spans="12:55" ht="11.1" customHeight="1" x14ac:dyDescent="0.2">
      <c r="L287" s="5"/>
      <c r="P287" s="1"/>
      <c r="S287"/>
      <c r="U287" s="5"/>
      <c r="V287" s="17"/>
      <c r="X287" s="7"/>
      <c r="AG287" s="17"/>
      <c r="AL287" s="7"/>
      <c r="BC287" s="17"/>
    </row>
    <row r="288" spans="12:55" ht="11.1" customHeight="1" x14ac:dyDescent="0.2">
      <c r="L288" s="5"/>
      <c r="P288" s="1"/>
      <c r="S288"/>
      <c r="U288" s="5"/>
      <c r="V288" s="17"/>
      <c r="X288" s="7"/>
      <c r="AG288" s="17"/>
      <c r="AL288" s="7"/>
      <c r="BC288" s="17"/>
    </row>
    <row r="289" spans="12:55" ht="11.1" customHeight="1" x14ac:dyDescent="0.2">
      <c r="L289" s="5"/>
      <c r="P289" s="1"/>
      <c r="S289"/>
      <c r="U289" s="5"/>
      <c r="V289" s="17"/>
      <c r="X289" s="7"/>
      <c r="AG289" s="17"/>
      <c r="AL289" s="7"/>
      <c r="BC289" s="17"/>
    </row>
    <row r="290" spans="12:55" ht="11.1" customHeight="1" x14ac:dyDescent="0.2">
      <c r="L290" s="5"/>
      <c r="P290" s="1"/>
      <c r="S290"/>
      <c r="U290" s="5"/>
      <c r="V290" s="17"/>
      <c r="X290" s="7"/>
      <c r="AG290" s="17"/>
      <c r="AL290" s="7"/>
      <c r="BC290" s="17"/>
    </row>
    <row r="291" spans="12:55" ht="11.1" customHeight="1" x14ac:dyDescent="0.2">
      <c r="L291" s="5"/>
      <c r="P291" s="1"/>
      <c r="S291"/>
      <c r="U291" s="5"/>
      <c r="V291" s="17"/>
      <c r="X291" s="7"/>
      <c r="AG291" s="17"/>
      <c r="AL291" s="7"/>
      <c r="BC291" s="17"/>
    </row>
    <row r="292" spans="12:55" ht="11.1" customHeight="1" x14ac:dyDescent="0.2">
      <c r="L292" s="5"/>
      <c r="P292" s="1"/>
      <c r="S292"/>
      <c r="U292" s="5"/>
      <c r="V292" s="17"/>
      <c r="X292" s="7"/>
      <c r="AG292" s="17"/>
      <c r="AL292" s="7"/>
      <c r="BC292" s="17"/>
    </row>
    <row r="293" spans="12:55" ht="11.1" customHeight="1" x14ac:dyDescent="0.2">
      <c r="L293" s="5"/>
      <c r="P293" s="1"/>
      <c r="S293"/>
      <c r="U293" s="5"/>
      <c r="V293" s="17"/>
      <c r="X293" s="7"/>
      <c r="AG293" s="17"/>
      <c r="AL293" s="7"/>
      <c r="BC293" s="17"/>
    </row>
    <row r="294" spans="12:55" ht="11.1" customHeight="1" x14ac:dyDescent="0.2">
      <c r="L294" s="5"/>
      <c r="P294" s="1"/>
      <c r="S294"/>
      <c r="U294" s="5"/>
      <c r="V294" s="17"/>
      <c r="X294" s="7"/>
      <c r="AG294" s="17"/>
      <c r="AL294" s="7"/>
      <c r="BC294" s="17"/>
    </row>
    <row r="295" spans="12:55" ht="11.1" customHeight="1" x14ac:dyDescent="0.2">
      <c r="L295" s="5"/>
      <c r="P295" s="1"/>
      <c r="S295"/>
      <c r="U295" s="5"/>
      <c r="V295" s="17"/>
      <c r="X295" s="7"/>
      <c r="AG295" s="17"/>
      <c r="AL295" s="7"/>
      <c r="BC295" s="17"/>
    </row>
    <row r="296" spans="12:55" ht="11.1" customHeight="1" x14ac:dyDescent="0.2">
      <c r="L296" s="5"/>
      <c r="P296" s="1"/>
      <c r="S296"/>
      <c r="U296" s="5"/>
      <c r="V296" s="17"/>
      <c r="X296" s="7"/>
      <c r="AG296" s="17"/>
      <c r="AL296" s="7"/>
      <c r="BC296" s="17"/>
    </row>
    <row r="297" spans="12:55" ht="11.1" customHeight="1" x14ac:dyDescent="0.2">
      <c r="L297" s="5"/>
      <c r="P297" s="1"/>
      <c r="S297"/>
      <c r="U297" s="5"/>
      <c r="V297" s="17"/>
      <c r="X297" s="7"/>
      <c r="AG297" s="17"/>
      <c r="AL297" s="7"/>
      <c r="BC297" s="17"/>
    </row>
    <row r="298" spans="12:55" ht="11.1" customHeight="1" x14ac:dyDescent="0.2">
      <c r="L298" s="5"/>
      <c r="P298" s="1"/>
      <c r="S298"/>
      <c r="U298" s="5"/>
      <c r="V298" s="17"/>
      <c r="X298" s="7"/>
      <c r="AG298" s="17"/>
      <c r="AL298" s="7"/>
      <c r="BC298" s="17"/>
    </row>
    <row r="299" spans="12:55" ht="11.1" customHeight="1" x14ac:dyDescent="0.2">
      <c r="L299" s="5"/>
      <c r="P299" s="1"/>
      <c r="S299"/>
      <c r="U299" s="5"/>
      <c r="V299" s="17"/>
      <c r="X299" s="7"/>
      <c r="AG299" s="17"/>
      <c r="AL299" s="7"/>
      <c r="BC299" s="17"/>
    </row>
    <row r="300" spans="12:55" ht="11.1" customHeight="1" x14ac:dyDescent="0.2">
      <c r="L300" s="5"/>
      <c r="P300" s="1"/>
      <c r="S300"/>
      <c r="U300" s="5"/>
      <c r="V300" s="17"/>
      <c r="X300" s="7"/>
      <c r="AG300" s="17"/>
      <c r="AL300" s="7"/>
      <c r="BC300" s="17"/>
    </row>
    <row r="301" spans="12:55" ht="11.1" customHeight="1" x14ac:dyDescent="0.2">
      <c r="L301" s="5"/>
      <c r="P301" s="1"/>
      <c r="S301"/>
      <c r="U301" s="5"/>
      <c r="V301" s="17"/>
      <c r="X301" s="7"/>
      <c r="AG301" s="17"/>
      <c r="AL301" s="7"/>
      <c r="BC301" s="17"/>
    </row>
    <row r="302" spans="12:55" ht="11.1" customHeight="1" x14ac:dyDescent="0.2">
      <c r="L302" s="5"/>
      <c r="P302" s="1"/>
      <c r="S302"/>
      <c r="U302" s="5"/>
      <c r="V302" s="17"/>
      <c r="X302" s="7"/>
      <c r="AG302" s="17"/>
      <c r="AL302" s="7"/>
      <c r="BC302" s="17"/>
    </row>
    <row r="303" spans="12:55" ht="11.1" customHeight="1" x14ac:dyDescent="0.2">
      <c r="L303" s="5"/>
      <c r="P303" s="1"/>
      <c r="S303"/>
      <c r="U303" s="5"/>
      <c r="V303" s="17"/>
      <c r="X303" s="7"/>
      <c r="AG303" s="17"/>
      <c r="AL303" s="7"/>
      <c r="BC303" s="17"/>
    </row>
    <row r="304" spans="12:55" ht="11.1" customHeight="1" x14ac:dyDescent="0.2">
      <c r="L304" s="5"/>
      <c r="P304" s="1"/>
      <c r="S304"/>
      <c r="U304" s="5"/>
      <c r="V304" s="17"/>
      <c r="X304" s="7"/>
      <c r="AG304" s="17"/>
      <c r="AL304" s="7"/>
      <c r="BC304" s="17"/>
    </row>
    <row r="305" spans="12:55" ht="11.1" customHeight="1" x14ac:dyDescent="0.2">
      <c r="L305" s="5"/>
      <c r="P305" s="1"/>
      <c r="S305"/>
      <c r="U305" s="5"/>
      <c r="V305" s="17"/>
      <c r="X305" s="7"/>
      <c r="AG305" s="17"/>
      <c r="AL305" s="7"/>
      <c r="BC305" s="17"/>
    </row>
    <row r="306" spans="12:55" ht="11.1" customHeight="1" x14ac:dyDescent="0.2">
      <c r="L306" s="5"/>
      <c r="P306" s="1"/>
      <c r="S306"/>
      <c r="U306" s="5"/>
      <c r="V306" s="17"/>
      <c r="X306" s="7"/>
      <c r="AG306" s="17"/>
      <c r="AL306" s="7"/>
      <c r="BC306" s="17"/>
    </row>
    <row r="307" spans="12:55" ht="11.1" customHeight="1" x14ac:dyDescent="0.2">
      <c r="L307" s="5"/>
      <c r="P307" s="1"/>
      <c r="S307"/>
      <c r="U307" s="5"/>
      <c r="V307" s="17"/>
      <c r="X307" s="7"/>
      <c r="AG307" s="17"/>
      <c r="AL307" s="7"/>
      <c r="BC307" s="17"/>
    </row>
    <row r="308" spans="12:55" ht="11.1" customHeight="1" x14ac:dyDescent="0.2">
      <c r="L308" s="5"/>
      <c r="P308" s="1"/>
      <c r="S308"/>
      <c r="U308" s="5"/>
      <c r="V308" s="17"/>
      <c r="X308" s="7"/>
      <c r="AG308" s="17"/>
      <c r="AL308" s="7"/>
      <c r="BC308" s="17"/>
    </row>
    <row r="309" spans="12:55" ht="11.1" customHeight="1" x14ac:dyDescent="0.2">
      <c r="L309" s="5"/>
      <c r="P309" s="1"/>
      <c r="S309"/>
      <c r="U309" s="5"/>
      <c r="V309" s="17"/>
      <c r="X309" s="7"/>
      <c r="AG309" s="17"/>
      <c r="AL309" s="7"/>
      <c r="BC309" s="17"/>
    </row>
    <row r="310" spans="12:55" ht="11.1" customHeight="1" x14ac:dyDescent="0.2">
      <c r="L310" s="5"/>
      <c r="P310" s="1"/>
      <c r="S310"/>
      <c r="U310" s="5"/>
      <c r="V310" s="17"/>
      <c r="X310" s="7"/>
      <c r="AG310" s="17"/>
      <c r="AL310" s="7"/>
      <c r="BC310" s="17"/>
    </row>
    <row r="311" spans="12:55" ht="11.1" customHeight="1" x14ac:dyDescent="0.2">
      <c r="L311" s="5"/>
      <c r="P311" s="1"/>
      <c r="S311"/>
      <c r="U311" s="5"/>
      <c r="V311" s="17"/>
      <c r="X311" s="7"/>
      <c r="AG311" s="17"/>
      <c r="AL311" s="7"/>
      <c r="BC311" s="17"/>
    </row>
    <row r="312" spans="12:55" ht="11.1" customHeight="1" x14ac:dyDescent="0.2">
      <c r="P312" s="1"/>
      <c r="S312"/>
      <c r="U312" s="5"/>
      <c r="V312" s="17"/>
      <c r="X312" s="7"/>
      <c r="AG312" s="17"/>
      <c r="AL312" s="7"/>
      <c r="BC312" s="17"/>
    </row>
  </sheetData>
  <sheetProtection sheet="1" objects="1" scenarios="1"/>
  <mergeCells count="39">
    <mergeCell ref="H7:I8"/>
    <mergeCell ref="I22:I26"/>
    <mergeCell ref="E28:F29"/>
    <mergeCell ref="E26:F27"/>
    <mergeCell ref="E22:F23"/>
    <mergeCell ref="H22:H26"/>
    <mergeCell ref="E24:F25"/>
    <mergeCell ref="K14:K20"/>
    <mergeCell ref="H27:I29"/>
    <mergeCell ref="G4:K4"/>
    <mergeCell ref="M14:M20"/>
    <mergeCell ref="E10:E13"/>
    <mergeCell ref="F10:F13"/>
    <mergeCell ref="E14:E20"/>
    <mergeCell ref="F14:F20"/>
    <mergeCell ref="H9:I10"/>
    <mergeCell ref="H14:H20"/>
    <mergeCell ref="I14:I20"/>
    <mergeCell ref="H11:H13"/>
    <mergeCell ref="I11:I13"/>
    <mergeCell ref="H5:I6"/>
    <mergeCell ref="E8:F9"/>
    <mergeCell ref="E6:F7"/>
    <mergeCell ref="F34:H35"/>
    <mergeCell ref="G33:M33"/>
    <mergeCell ref="K34:M35"/>
    <mergeCell ref="A1:A34"/>
    <mergeCell ref="B1:B34"/>
    <mergeCell ref="C1:C34"/>
    <mergeCell ref="D1:D34"/>
    <mergeCell ref="M8:M13"/>
    <mergeCell ref="E30:F31"/>
    <mergeCell ref="E32:F33"/>
    <mergeCell ref="G3:K3"/>
    <mergeCell ref="M23:M24"/>
    <mergeCell ref="J22:J26"/>
    <mergeCell ref="J27:K29"/>
    <mergeCell ref="K22:K26"/>
    <mergeCell ref="K11:K13"/>
  </mergeCells>
  <phoneticPr fontId="2" type="noConversion"/>
  <conditionalFormatting sqref="O36:R135">
    <cfRule type="expression" dxfId="15" priority="1" stopIfTrue="1">
      <formula>ISERROR(O36)</formula>
    </cfRule>
  </conditionalFormatting>
  <conditionalFormatting sqref="A37:A136">
    <cfRule type="expression" dxfId="14" priority="2" stopIfTrue="1">
      <formula>AND($A$137,ROW(A37)=$A$138)</formula>
    </cfRule>
  </conditionalFormatting>
  <conditionalFormatting sqref="D37:D136">
    <cfRule type="expression" dxfId="13" priority="6" stopIfTrue="1">
      <formula>AND(ROW(D37)&gt;=$D$137+$E$36,ROW(D37)&lt;=$D$138+$E$36)</formula>
    </cfRule>
  </conditionalFormatting>
  <conditionalFormatting sqref="C37:C136">
    <cfRule type="expression" dxfId="12" priority="7" stopIfTrue="1">
      <formula>AND(ROW(C37)&gt;=$C$137+$E$36,ROW(C37)&lt;=$C$138+$E$36)</formula>
    </cfRule>
  </conditionalFormatting>
  <conditionalFormatting sqref="B37:B136">
    <cfRule type="expression" dxfId="11" priority="8" stopIfTrue="1">
      <formula>ROW(B37)=$B$137+$E$36</formula>
    </cfRule>
  </conditionalFormatting>
  <pageMargins left="0.75" right="0.75" top="1" bottom="1" header="0.5" footer="0.5"/>
  <pageSetup paperSize="9" orientation="portrait" horizontalDpi="4294967294"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56" r:id="rId4" name="Group Box 32">
              <controlPr defaultSize="0" autoFill="0" autoPict="0">
                <anchor moveWithCells="1" sizeWithCells="1">
                  <from>
                    <xdr:col>7</xdr:col>
                    <xdr:colOff>0</xdr:colOff>
                    <xdr:row>4</xdr:row>
                    <xdr:rowOff>0</xdr:rowOff>
                  </from>
                  <to>
                    <xdr:col>9</xdr:col>
                    <xdr:colOff>0</xdr:colOff>
                    <xdr:row>10</xdr:row>
                    <xdr:rowOff>0</xdr:rowOff>
                  </to>
                </anchor>
              </controlPr>
            </control>
          </mc:Choice>
        </mc:AlternateContent>
        <mc:AlternateContent xmlns:mc="http://schemas.openxmlformats.org/markup-compatibility/2006">
          <mc:Choice Requires="x14">
            <control shapeId="1051" r:id="rId5" name="Group Box 27">
              <controlPr locked="0" defaultSize="0" print="0" autoFill="0" autoPict="0">
                <anchor moveWithCells="1" sizeWithCells="1">
                  <from>
                    <xdr:col>4</xdr:col>
                    <xdr:colOff>0</xdr:colOff>
                    <xdr:row>5</xdr:row>
                    <xdr:rowOff>0</xdr:rowOff>
                  </from>
                  <to>
                    <xdr:col>6</xdr:col>
                    <xdr:colOff>0</xdr:colOff>
                    <xdr:row>9</xdr:row>
                    <xdr:rowOff>0</xdr:rowOff>
                  </to>
                </anchor>
              </controlPr>
            </control>
          </mc:Choice>
        </mc:AlternateContent>
        <mc:AlternateContent xmlns:mc="http://schemas.openxmlformats.org/markup-compatibility/2006">
          <mc:Choice Requires="x14">
            <control shapeId="1032" r:id="rId6" name="Spinner 8">
              <controlPr locked="0" defaultSize="0" autoPict="0">
                <anchor moveWithCells="1" sizeWithCells="1">
                  <from>
                    <xdr:col>4</xdr:col>
                    <xdr:colOff>38100</xdr:colOff>
                    <xdr:row>13</xdr:row>
                    <xdr:rowOff>38100</xdr:rowOff>
                  </from>
                  <to>
                    <xdr:col>4</xdr:col>
                    <xdr:colOff>466725</xdr:colOff>
                    <xdr:row>19</xdr:row>
                    <xdr:rowOff>95250</xdr:rowOff>
                  </to>
                </anchor>
              </controlPr>
            </control>
          </mc:Choice>
        </mc:AlternateContent>
        <mc:AlternateContent xmlns:mc="http://schemas.openxmlformats.org/markup-compatibility/2006">
          <mc:Choice Requires="x14">
            <control shapeId="1033" r:id="rId7" name="Spinner 9">
              <controlPr locked="0" defaultSize="0" autoPict="0">
                <anchor moveWithCells="1" sizeWithCells="1">
                  <from>
                    <xdr:col>5</xdr:col>
                    <xdr:colOff>47625</xdr:colOff>
                    <xdr:row>13</xdr:row>
                    <xdr:rowOff>38100</xdr:rowOff>
                  </from>
                  <to>
                    <xdr:col>5</xdr:col>
                    <xdr:colOff>476250</xdr:colOff>
                    <xdr:row>19</xdr:row>
                    <xdr:rowOff>95250</xdr:rowOff>
                  </to>
                </anchor>
              </controlPr>
            </control>
          </mc:Choice>
        </mc:AlternateContent>
        <mc:AlternateContent xmlns:mc="http://schemas.openxmlformats.org/markup-compatibility/2006">
          <mc:Choice Requires="x14">
            <control shapeId="1034" r:id="rId8" name="Spinner 10">
              <controlPr locked="0" defaultSize="0" autoPict="0">
                <anchor moveWithCells="1" sizeWithCells="1">
                  <from>
                    <xdr:col>7</xdr:col>
                    <xdr:colOff>47625</xdr:colOff>
                    <xdr:row>13</xdr:row>
                    <xdr:rowOff>38100</xdr:rowOff>
                  </from>
                  <to>
                    <xdr:col>7</xdr:col>
                    <xdr:colOff>476250</xdr:colOff>
                    <xdr:row>19</xdr:row>
                    <xdr:rowOff>95250</xdr:rowOff>
                  </to>
                </anchor>
              </controlPr>
            </control>
          </mc:Choice>
        </mc:AlternateContent>
        <mc:AlternateContent xmlns:mc="http://schemas.openxmlformats.org/markup-compatibility/2006">
          <mc:Choice Requires="x14">
            <control shapeId="1035" r:id="rId9" name="Spinner 11">
              <controlPr locked="0" defaultSize="0" autoPict="0">
                <anchor moveWithCells="1" sizeWithCells="1">
                  <from>
                    <xdr:col>8</xdr:col>
                    <xdr:colOff>47625</xdr:colOff>
                    <xdr:row>13</xdr:row>
                    <xdr:rowOff>38100</xdr:rowOff>
                  </from>
                  <to>
                    <xdr:col>8</xdr:col>
                    <xdr:colOff>476250</xdr:colOff>
                    <xdr:row>19</xdr:row>
                    <xdr:rowOff>95250</xdr:rowOff>
                  </to>
                </anchor>
              </controlPr>
            </control>
          </mc:Choice>
        </mc:AlternateContent>
        <mc:AlternateContent xmlns:mc="http://schemas.openxmlformats.org/markup-compatibility/2006">
          <mc:Choice Requires="x14">
            <control shapeId="1060" r:id="rId10" name="Spinner 36">
              <controlPr locked="0" defaultSize="0" autoPict="0">
                <anchor moveWithCells="1" sizeWithCells="1">
                  <from>
                    <xdr:col>8</xdr:col>
                    <xdr:colOff>171450</xdr:colOff>
                    <xdr:row>21</xdr:row>
                    <xdr:rowOff>57150</xdr:rowOff>
                  </from>
                  <to>
                    <xdr:col>8</xdr:col>
                    <xdr:colOff>476250</xdr:colOff>
                    <xdr:row>25</xdr:row>
                    <xdr:rowOff>76200</xdr:rowOff>
                  </to>
                </anchor>
              </controlPr>
            </control>
          </mc:Choice>
        </mc:AlternateContent>
        <mc:AlternateContent xmlns:mc="http://schemas.openxmlformats.org/markup-compatibility/2006">
          <mc:Choice Requires="x14">
            <control shapeId="1184" r:id="rId11" name="Spinner 160">
              <controlPr locked="0" defaultSize="0" autoPict="0">
                <anchor moveWithCells="1" sizeWithCells="1">
                  <from>
                    <xdr:col>10</xdr:col>
                    <xdr:colOff>38100</xdr:colOff>
                    <xdr:row>13</xdr:row>
                    <xdr:rowOff>38100</xdr:rowOff>
                  </from>
                  <to>
                    <xdr:col>10</xdr:col>
                    <xdr:colOff>466725</xdr:colOff>
                    <xdr:row>19</xdr:row>
                    <xdr:rowOff>95250</xdr:rowOff>
                  </to>
                </anchor>
              </controlPr>
            </control>
          </mc:Choice>
        </mc:AlternateContent>
        <mc:AlternateContent xmlns:mc="http://schemas.openxmlformats.org/markup-compatibility/2006">
          <mc:Choice Requires="x14">
            <control shapeId="1188" r:id="rId12" name="Spinner 164">
              <controlPr locked="0" defaultSize="0" autoPict="0">
                <anchor moveWithCells="1" sizeWithCells="1">
                  <from>
                    <xdr:col>10</xdr:col>
                    <xdr:colOff>171450</xdr:colOff>
                    <xdr:row>21</xdr:row>
                    <xdr:rowOff>57150</xdr:rowOff>
                  </from>
                  <to>
                    <xdr:col>10</xdr:col>
                    <xdr:colOff>476250</xdr:colOff>
                    <xdr:row>25</xdr:row>
                    <xdr:rowOff>76200</xdr:rowOff>
                  </to>
                </anchor>
              </controlPr>
            </control>
          </mc:Choice>
        </mc:AlternateContent>
        <mc:AlternateContent xmlns:mc="http://schemas.openxmlformats.org/markup-compatibility/2006">
          <mc:Choice Requires="x14">
            <control shapeId="1191" r:id="rId13" name="Check Box 167">
              <controlPr locked="0" defaultSize="0" autoFill="0" autoLine="0" autoPict="0" macro="[0]!cancel_alter_polynomial_fit_2" altText="Alter polynomial fit">
                <anchor moveWithCells="1" sizeWithCells="1">
                  <from>
                    <xdr:col>4</xdr:col>
                    <xdr:colOff>0</xdr:colOff>
                    <xdr:row>21</xdr:row>
                    <xdr:rowOff>9525</xdr:rowOff>
                  </from>
                  <to>
                    <xdr:col>5</xdr:col>
                    <xdr:colOff>495300</xdr:colOff>
                    <xdr:row>22</xdr:row>
                    <xdr:rowOff>123825</xdr:rowOff>
                  </to>
                </anchor>
              </controlPr>
            </control>
          </mc:Choice>
        </mc:AlternateContent>
        <mc:AlternateContent xmlns:mc="http://schemas.openxmlformats.org/markup-compatibility/2006">
          <mc:Choice Requires="x14">
            <control shapeId="1192" r:id="rId14" name="Spinner 168">
              <controlPr locked="0" defaultSize="0" autoPict="0">
                <anchor moveWithCells="1" sizeWithCells="1">
                  <from>
                    <xdr:col>4</xdr:col>
                    <xdr:colOff>19050</xdr:colOff>
                    <xdr:row>29</xdr:row>
                    <xdr:rowOff>19050</xdr:rowOff>
                  </from>
                  <to>
                    <xdr:col>4</xdr:col>
                    <xdr:colOff>323850</xdr:colOff>
                    <xdr:row>32</xdr:row>
                    <xdr:rowOff>114300</xdr:rowOff>
                  </to>
                </anchor>
              </controlPr>
            </control>
          </mc:Choice>
        </mc:AlternateContent>
        <mc:AlternateContent xmlns:mc="http://schemas.openxmlformats.org/markup-compatibility/2006">
          <mc:Choice Requires="x14">
            <control shapeId="1193" r:id="rId15" name="Check Box 169">
              <controlPr locked="0" defaultSize="0" autoFill="0" autoLine="0" autoPict="0" macro="[0]!cancel_alter_polynomial_fit_2">
                <anchor moveWithCells="1" sizeWithCells="1">
                  <from>
                    <xdr:col>4</xdr:col>
                    <xdr:colOff>0</xdr:colOff>
                    <xdr:row>23</xdr:row>
                    <xdr:rowOff>9525</xdr:rowOff>
                  </from>
                  <to>
                    <xdr:col>5</xdr:col>
                    <xdr:colOff>495300</xdr:colOff>
                    <xdr:row>24</xdr:row>
                    <xdr:rowOff>123825</xdr:rowOff>
                  </to>
                </anchor>
              </controlPr>
            </control>
          </mc:Choice>
        </mc:AlternateContent>
        <mc:AlternateContent xmlns:mc="http://schemas.openxmlformats.org/markup-compatibility/2006">
          <mc:Choice Requires="x14">
            <control shapeId="1197" r:id="rId16" name="Spinner 173">
              <controlPr locked="0" defaultSize="0" autoPict="0">
                <anchor moveWithCells="1" sizeWithCells="1">
                  <from>
                    <xdr:col>4</xdr:col>
                    <xdr:colOff>19050</xdr:colOff>
                    <xdr:row>25</xdr:row>
                    <xdr:rowOff>19050</xdr:rowOff>
                  </from>
                  <to>
                    <xdr:col>4</xdr:col>
                    <xdr:colOff>323850</xdr:colOff>
                    <xdr:row>28</xdr:row>
                    <xdr:rowOff>114300</xdr:rowOff>
                  </to>
                </anchor>
              </controlPr>
            </control>
          </mc:Choice>
        </mc:AlternateContent>
        <mc:AlternateContent xmlns:mc="http://schemas.openxmlformats.org/markup-compatibility/2006">
          <mc:Choice Requires="x14">
            <control shapeId="1201" r:id="rId17" name="Spinner 177">
              <controlPr locked="0" defaultSize="0" autoPict="0">
                <anchor moveWithCells="1" sizeWithCells="1">
                  <from>
                    <xdr:col>12</xdr:col>
                    <xdr:colOff>47625</xdr:colOff>
                    <xdr:row>13</xdr:row>
                    <xdr:rowOff>38100</xdr:rowOff>
                  </from>
                  <to>
                    <xdr:col>12</xdr:col>
                    <xdr:colOff>476250</xdr:colOff>
                    <xdr:row>19</xdr:row>
                    <xdr:rowOff>95250</xdr:rowOff>
                  </to>
                </anchor>
              </controlPr>
            </control>
          </mc:Choice>
        </mc:AlternateContent>
        <mc:AlternateContent xmlns:mc="http://schemas.openxmlformats.org/markup-compatibility/2006">
          <mc:Choice Requires="x14">
            <control shapeId="1057" r:id="rId18" name="Option Button 33">
              <controlPr locked="0" defaultSize="0" autoFill="0" autoLine="0" autoPict="0" macro="[0]!cancel_alter_polynomial_fit">
                <anchor moveWithCells="1" sizeWithCells="1">
                  <from>
                    <xdr:col>6</xdr:col>
                    <xdr:colOff>495300</xdr:colOff>
                    <xdr:row>4</xdr:row>
                    <xdr:rowOff>0</xdr:rowOff>
                  </from>
                  <to>
                    <xdr:col>8</xdr:col>
                    <xdr:colOff>466725</xdr:colOff>
                    <xdr:row>5</xdr:row>
                    <xdr:rowOff>104775</xdr:rowOff>
                  </to>
                </anchor>
              </controlPr>
            </control>
          </mc:Choice>
        </mc:AlternateContent>
        <mc:AlternateContent xmlns:mc="http://schemas.openxmlformats.org/markup-compatibility/2006">
          <mc:Choice Requires="x14">
            <control shapeId="1058" r:id="rId19" name="Option Button 34">
              <controlPr locked="0" defaultSize="0" autoFill="0" autoLine="0" autoPict="0" macro="[0]!cancel_alter_polynomial_fit">
                <anchor moveWithCells="1" sizeWithCells="1">
                  <from>
                    <xdr:col>6</xdr:col>
                    <xdr:colOff>495300</xdr:colOff>
                    <xdr:row>6</xdr:row>
                    <xdr:rowOff>9525</xdr:rowOff>
                  </from>
                  <to>
                    <xdr:col>8</xdr:col>
                    <xdr:colOff>466725</xdr:colOff>
                    <xdr:row>7</xdr:row>
                    <xdr:rowOff>95250</xdr:rowOff>
                  </to>
                </anchor>
              </controlPr>
            </control>
          </mc:Choice>
        </mc:AlternateContent>
        <mc:AlternateContent xmlns:mc="http://schemas.openxmlformats.org/markup-compatibility/2006">
          <mc:Choice Requires="x14">
            <control shapeId="1059" r:id="rId20" name="Option Button 35">
              <controlPr locked="0" defaultSize="0" autoFill="0" autoLine="0" autoPict="0" macro="[0]!set_max_point_and_weight">
                <anchor moveWithCells="1" sizeWithCells="1">
                  <from>
                    <xdr:col>6</xdr:col>
                    <xdr:colOff>495300</xdr:colOff>
                    <xdr:row>8</xdr:row>
                    <xdr:rowOff>9525</xdr:rowOff>
                  </from>
                  <to>
                    <xdr:col>8</xdr:col>
                    <xdr:colOff>466725</xdr:colOff>
                    <xdr:row>9</xdr:row>
                    <xdr:rowOff>104775</xdr:rowOff>
                  </to>
                </anchor>
              </controlPr>
            </control>
          </mc:Choice>
        </mc:AlternateContent>
        <mc:AlternateContent xmlns:mc="http://schemas.openxmlformats.org/markup-compatibility/2006">
          <mc:Choice Requires="x14">
            <control shapeId="1052" r:id="rId21" name="Option Button 28">
              <controlPr locked="0" defaultSize="0" print="0" autoFill="0" autoLine="0" autoPict="0">
                <anchor moveWithCells="1" sizeWithCells="1">
                  <from>
                    <xdr:col>4</xdr:col>
                    <xdr:colOff>19050</xdr:colOff>
                    <xdr:row>5</xdr:row>
                    <xdr:rowOff>9525</xdr:rowOff>
                  </from>
                  <to>
                    <xdr:col>5</xdr:col>
                    <xdr:colOff>504825</xdr:colOff>
                    <xdr:row>6</xdr:row>
                    <xdr:rowOff>123825</xdr:rowOff>
                  </to>
                </anchor>
              </controlPr>
            </control>
          </mc:Choice>
        </mc:AlternateContent>
        <mc:AlternateContent xmlns:mc="http://schemas.openxmlformats.org/markup-compatibility/2006">
          <mc:Choice Requires="x14">
            <control shapeId="1053" r:id="rId22" name="Option Button 29">
              <controlPr locked="0" defaultSize="0" print="0" autoFill="0" autoLine="0" autoPict="0" altText=" Finite AR corrected">
                <anchor moveWithCells="1" sizeWithCells="1">
                  <from>
                    <xdr:col>4</xdr:col>
                    <xdr:colOff>19050</xdr:colOff>
                    <xdr:row>6</xdr:row>
                    <xdr:rowOff>123825</xdr:rowOff>
                  </from>
                  <to>
                    <xdr:col>5</xdr:col>
                    <xdr:colOff>504825</xdr:colOff>
                    <xdr:row>8</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Q247"/>
  <sheetViews>
    <sheetView topLeftCell="A2" workbookViewId="0">
      <selection activeCell="E2" sqref="E2"/>
    </sheetView>
  </sheetViews>
  <sheetFormatPr defaultRowHeight="12.75" x14ac:dyDescent="0.2"/>
  <cols>
    <col min="1" max="4" width="2.28515625" style="5" customWidth="1"/>
    <col min="5" max="8" width="9.140625" style="1"/>
    <col min="9" max="9" width="14.7109375" style="5" customWidth="1"/>
    <col min="10" max="11" width="14.7109375" style="1" customWidth="1"/>
    <col min="12" max="13" width="10.7109375" customWidth="1"/>
    <col min="14" max="14" width="12.7109375" customWidth="1"/>
    <col min="15" max="20" width="10.7109375" customWidth="1"/>
    <col min="21" max="25" width="14.7109375" style="1" hidden="1" customWidth="1"/>
    <col min="26" max="26" width="10.7109375" customWidth="1"/>
    <col min="27" max="27" width="12.7109375" customWidth="1"/>
    <col min="28" max="31" width="12.7109375" hidden="1" customWidth="1"/>
    <col min="32" max="32" width="12.7109375" customWidth="1"/>
    <col min="33" max="36" width="12.7109375" hidden="1" customWidth="1"/>
    <col min="37" max="37" width="12.7109375" customWidth="1"/>
  </cols>
  <sheetData>
    <row r="1" spans="1:43" s="1" customFormat="1" ht="12.75" hidden="1" customHeight="1" x14ac:dyDescent="0.2">
      <c r="A1" s="3" t="str">
        <f>SUBSTITUTE(ADDRESS(1,COLUMN(),4),"1","")</f>
        <v>A</v>
      </c>
      <c r="B1" s="3" t="str">
        <f t="shared" ref="B1:AQ1" si="0">SUBSTITUTE(ADDRESS(1,COLUMN(),4),"1","")</f>
        <v>B</v>
      </c>
      <c r="C1" s="3" t="str">
        <f t="shared" si="0"/>
        <v>C</v>
      </c>
      <c r="D1" s="3" t="str">
        <f t="shared" si="0"/>
        <v>D</v>
      </c>
      <c r="E1" s="1" t="str">
        <f t="shared" si="0"/>
        <v>E</v>
      </c>
      <c r="F1" s="1" t="str">
        <f t="shared" si="0"/>
        <v>F</v>
      </c>
      <c r="G1" s="1" t="str">
        <f t="shared" si="0"/>
        <v>G</v>
      </c>
      <c r="H1" s="1" t="str">
        <f t="shared" si="0"/>
        <v>H</v>
      </c>
      <c r="I1" s="1" t="str">
        <f t="shared" si="0"/>
        <v>I</v>
      </c>
      <c r="J1" s="1" t="str">
        <f t="shared" si="0"/>
        <v>J</v>
      </c>
      <c r="K1" s="1" t="str">
        <f t="shared" si="0"/>
        <v>K</v>
      </c>
      <c r="L1" s="1" t="str">
        <f t="shared" si="0"/>
        <v>L</v>
      </c>
      <c r="M1" s="1" t="str">
        <f t="shared" si="0"/>
        <v>M</v>
      </c>
      <c r="N1" s="1" t="str">
        <f t="shared" si="0"/>
        <v>N</v>
      </c>
      <c r="O1" s="1" t="str">
        <f t="shared" si="0"/>
        <v>O</v>
      </c>
      <c r="P1" s="1" t="str">
        <f t="shared" si="0"/>
        <v>P</v>
      </c>
      <c r="Q1" s="1" t="str">
        <f t="shared" si="0"/>
        <v>Q</v>
      </c>
      <c r="R1" s="1" t="str">
        <f t="shared" si="0"/>
        <v>R</v>
      </c>
      <c r="S1" s="1" t="str">
        <f t="shared" si="0"/>
        <v>S</v>
      </c>
      <c r="T1" s="1" t="str">
        <f t="shared" si="0"/>
        <v>T</v>
      </c>
      <c r="U1" s="1" t="str">
        <f t="shared" si="0"/>
        <v>U</v>
      </c>
      <c r="V1" s="1" t="str">
        <f t="shared" si="0"/>
        <v>V</v>
      </c>
      <c r="W1" s="1" t="str">
        <f t="shared" si="0"/>
        <v>W</v>
      </c>
      <c r="X1" s="1" t="str">
        <f t="shared" si="0"/>
        <v>X</v>
      </c>
      <c r="Y1" s="1" t="str">
        <f t="shared" si="0"/>
        <v>Y</v>
      </c>
      <c r="Z1" s="1" t="str">
        <f t="shared" si="0"/>
        <v>Z</v>
      </c>
      <c r="AA1" s="1" t="str">
        <f t="shared" si="0"/>
        <v>AA</v>
      </c>
      <c r="AB1" s="1" t="str">
        <f t="shared" si="0"/>
        <v>AB</v>
      </c>
      <c r="AC1" s="1" t="str">
        <f t="shared" si="0"/>
        <v>AC</v>
      </c>
      <c r="AD1" s="1" t="str">
        <f t="shared" si="0"/>
        <v>AD</v>
      </c>
      <c r="AE1" s="1" t="str">
        <f t="shared" si="0"/>
        <v>AE</v>
      </c>
      <c r="AF1" s="1" t="str">
        <f t="shared" si="0"/>
        <v>AF</v>
      </c>
      <c r="AG1" s="1" t="str">
        <f t="shared" si="0"/>
        <v>AG</v>
      </c>
      <c r="AH1" s="1" t="str">
        <f t="shared" si="0"/>
        <v>AH</v>
      </c>
      <c r="AI1" s="1" t="str">
        <f t="shared" si="0"/>
        <v>AI</v>
      </c>
      <c r="AJ1" s="1" t="str">
        <f t="shared" si="0"/>
        <v>AJ</v>
      </c>
      <c r="AK1" s="1" t="str">
        <f t="shared" si="0"/>
        <v>AK</v>
      </c>
      <c r="AL1" s="1" t="str">
        <f t="shared" si="0"/>
        <v>AL</v>
      </c>
      <c r="AM1" s="1" t="str">
        <f t="shared" si="0"/>
        <v>AM</v>
      </c>
      <c r="AN1" s="1" t="str">
        <f t="shared" si="0"/>
        <v>AN</v>
      </c>
      <c r="AO1" s="1" t="str">
        <f t="shared" si="0"/>
        <v>AO</v>
      </c>
      <c r="AP1" s="1" t="str">
        <f t="shared" si="0"/>
        <v>AP</v>
      </c>
      <c r="AQ1" s="1" t="str">
        <f t="shared" si="0"/>
        <v>AQ</v>
      </c>
    </row>
    <row r="2" spans="1:43" ht="12.75" customHeight="1" x14ac:dyDescent="0.2">
      <c r="A2" s="259" t="s">
        <v>71</v>
      </c>
      <c r="B2" s="260" t="s">
        <v>72</v>
      </c>
      <c r="C2" s="260" t="s">
        <v>73</v>
      </c>
      <c r="D2" s="260" t="s">
        <v>74</v>
      </c>
      <c r="E2" s="64"/>
      <c r="F2" s="64"/>
      <c r="G2" s="7"/>
      <c r="H2" s="7"/>
    </row>
    <row r="3" spans="1:43" x14ac:dyDescent="0.2">
      <c r="A3" s="259"/>
      <c r="B3" s="260"/>
      <c r="C3" s="260"/>
      <c r="D3" s="260"/>
      <c r="E3" s="65"/>
      <c r="F3" s="66"/>
      <c r="G3" s="71"/>
      <c r="H3" s="71"/>
      <c r="I3" s="4"/>
      <c r="L3" s="1"/>
      <c r="M3" s="1"/>
      <c r="N3" s="1"/>
      <c r="O3" s="1"/>
      <c r="P3" s="1"/>
      <c r="Q3" s="1"/>
      <c r="R3" s="1"/>
      <c r="S3" s="1"/>
      <c r="T3" s="1"/>
      <c r="Z3" s="1"/>
      <c r="AA3" s="1"/>
      <c r="AB3" s="1"/>
      <c r="AC3" s="1"/>
      <c r="AD3" s="1"/>
      <c r="AE3" s="1"/>
      <c r="AF3" s="1"/>
    </row>
    <row r="4" spans="1:43" x14ac:dyDescent="0.2">
      <c r="A4" s="259"/>
      <c r="B4" s="260"/>
      <c r="C4" s="260"/>
      <c r="D4" s="260"/>
      <c r="E4" s="65"/>
      <c r="F4" s="66"/>
      <c r="G4" s="4"/>
      <c r="H4" s="4"/>
      <c r="I4" s="4"/>
    </row>
    <row r="5" spans="1:43" x14ac:dyDescent="0.2">
      <c r="A5" s="259"/>
      <c r="B5" s="260"/>
      <c r="C5" s="260"/>
      <c r="D5" s="260"/>
      <c r="E5" s="64"/>
      <c r="F5" s="64"/>
      <c r="G5" s="7"/>
      <c r="H5" s="7"/>
      <c r="N5" s="255" t="s">
        <v>58</v>
      </c>
    </row>
    <row r="6" spans="1:43" x14ac:dyDescent="0.2">
      <c r="A6" s="259"/>
      <c r="B6" s="260"/>
      <c r="C6" s="260"/>
      <c r="D6" s="260"/>
      <c r="E6" s="67"/>
      <c r="F6" s="67"/>
      <c r="G6" s="7"/>
      <c r="H6" s="19"/>
      <c r="N6" s="253"/>
      <c r="S6" s="17"/>
      <c r="T6" s="17"/>
      <c r="U6" s="7"/>
      <c r="V6" s="7"/>
      <c r="W6" s="7"/>
      <c r="X6" s="7"/>
      <c r="Y6" s="7"/>
      <c r="Z6" s="17"/>
    </row>
    <row r="7" spans="1:43" x14ac:dyDescent="0.2">
      <c r="A7" s="259"/>
      <c r="B7" s="260"/>
      <c r="C7" s="260"/>
      <c r="D7" s="260"/>
      <c r="E7" s="67"/>
      <c r="F7" s="67"/>
      <c r="G7" s="7"/>
      <c r="H7" s="19"/>
      <c r="N7" s="164">
        <v>3</v>
      </c>
      <c r="S7" s="17"/>
      <c r="T7" s="17"/>
      <c r="U7" s="7"/>
      <c r="V7" s="7"/>
      <c r="W7" s="7"/>
      <c r="X7" s="7"/>
      <c r="Y7" s="7"/>
      <c r="Z7" s="17"/>
    </row>
    <row r="8" spans="1:43" x14ac:dyDescent="0.2">
      <c r="A8" s="259"/>
      <c r="B8" s="260"/>
      <c r="C8" s="260"/>
      <c r="D8" s="260"/>
      <c r="E8" s="67"/>
      <c r="F8" s="67"/>
      <c r="G8" s="7"/>
      <c r="H8" s="19"/>
      <c r="R8" s="29"/>
      <c r="S8" s="17"/>
      <c r="T8" s="17"/>
      <c r="U8" s="60" t="s">
        <v>69</v>
      </c>
      <c r="V8" s="60" t="s">
        <v>69</v>
      </c>
      <c r="W8" s="60" t="s">
        <v>69</v>
      </c>
      <c r="X8" s="60" t="s">
        <v>69</v>
      </c>
      <c r="Y8" s="60" t="s">
        <v>69</v>
      </c>
      <c r="Z8" s="17"/>
    </row>
    <row r="9" spans="1:43" x14ac:dyDescent="0.2">
      <c r="A9" s="259"/>
      <c r="B9" s="260"/>
      <c r="C9" s="260"/>
      <c r="D9" s="260"/>
      <c r="E9" s="67"/>
      <c r="F9" s="67"/>
      <c r="G9" s="7"/>
      <c r="H9" s="19"/>
      <c r="N9" s="255" t="s">
        <v>15</v>
      </c>
      <c r="R9" s="49" t="s">
        <v>32</v>
      </c>
      <c r="S9" s="50">
        <f>1.19*(1-POWER(data!$F$4,2))</f>
        <v>1.163225</v>
      </c>
      <c r="T9" s="30"/>
      <c r="U9" s="59" t="s">
        <v>63</v>
      </c>
      <c r="V9" s="59" t="s">
        <v>64</v>
      </c>
      <c r="W9" s="59" t="s">
        <v>65</v>
      </c>
      <c r="X9" s="59" t="s">
        <v>66</v>
      </c>
      <c r="Y9" s="59" t="s">
        <v>67</v>
      </c>
      <c r="Z9" s="17"/>
    </row>
    <row r="10" spans="1:43" ht="12.75" customHeight="1" x14ac:dyDescent="0.2">
      <c r="A10" s="259"/>
      <c r="B10" s="260"/>
      <c r="C10" s="260"/>
      <c r="D10" s="260"/>
      <c r="E10" s="68"/>
      <c r="F10" s="68"/>
      <c r="G10" s="7"/>
      <c r="H10" s="19"/>
      <c r="L10" s="255" t="s">
        <v>46</v>
      </c>
      <c r="M10" s="255" t="s">
        <v>14</v>
      </c>
      <c r="N10" s="253"/>
      <c r="O10" s="255" t="s">
        <v>19</v>
      </c>
      <c r="R10" s="51" t="s">
        <v>33</v>
      </c>
      <c r="S10" s="52">
        <f>IF($J$13=2,0.65+0.35*EXP(-1*POWER(9/data!$F$3,2.3)),0.65+0.35*EXP(-1*POWER(0,2.3))   )</f>
        <v>1</v>
      </c>
      <c r="T10" s="18"/>
      <c r="U10" s="61" t="s">
        <v>68</v>
      </c>
      <c r="V10" s="61" t="s">
        <v>68</v>
      </c>
      <c r="W10" s="61" t="s">
        <v>68</v>
      </c>
      <c r="X10" s="61" t="s">
        <v>68</v>
      </c>
      <c r="Y10" s="61" t="s">
        <v>68</v>
      </c>
      <c r="Z10" s="18"/>
    </row>
    <row r="11" spans="1:43" ht="12.75" customHeight="1" x14ac:dyDescent="0.2">
      <c r="A11" s="259"/>
      <c r="B11" s="260"/>
      <c r="C11" s="260"/>
      <c r="D11" s="260"/>
      <c r="E11" s="68"/>
      <c r="F11" s="68"/>
      <c r="G11" s="7"/>
      <c r="H11" s="18"/>
      <c r="J11" s="252" t="s">
        <v>7</v>
      </c>
      <c r="L11" s="255"/>
      <c r="M11" s="255"/>
      <c r="N11" s="13">
        <f t="shared" ref="N11:N17" ca="1" si="1">INDIRECT(ADDRESS(ROW(U11),COLUMN(U1)+$N$7-2,4))</f>
        <v>0</v>
      </c>
      <c r="O11" s="253"/>
      <c r="R11" s="22"/>
      <c r="S11" s="31"/>
      <c r="T11" s="19"/>
      <c r="U11" s="56">
        <v>0</v>
      </c>
      <c r="V11" s="56">
        <v>0</v>
      </c>
      <c r="W11" s="56">
        <v>0</v>
      </c>
      <c r="X11" s="56">
        <v>0</v>
      </c>
      <c r="Y11" s="56">
        <f ca="1">INDEX(LINEST( INDIRECT( $V$1 &amp; $E$36+$J$24 &amp; ":"&amp; $V$1 &amp; $E$36+$K$24+$U$29),INDIRECT( $U$1 &amp; $E$36+$J$24 &amp; ":"&amp; $U$1 &amp; $E$36+$K$24+$U$29) ^{1,2,3,4,5,6}),1,1)</f>
        <v>-1.8390418811652028E-7</v>
      </c>
      <c r="Z11" s="48"/>
    </row>
    <row r="12" spans="1:43" x14ac:dyDescent="0.2">
      <c r="A12" s="259"/>
      <c r="B12" s="260"/>
      <c r="C12" s="260"/>
      <c r="D12" s="260"/>
      <c r="E12" s="68"/>
      <c r="F12" s="68"/>
      <c r="G12" s="7"/>
      <c r="H12" s="19"/>
      <c r="J12" s="213"/>
      <c r="L12" s="255"/>
      <c r="M12" s="255"/>
      <c r="N12" s="13">
        <f t="shared" ca="1" si="1"/>
        <v>0</v>
      </c>
      <c r="O12" s="253"/>
      <c r="S12" s="7"/>
      <c r="T12" s="7"/>
      <c r="U12" s="57">
        <v>0</v>
      </c>
      <c r="V12" s="57">
        <v>0</v>
      </c>
      <c r="W12" s="57">
        <v>0</v>
      </c>
      <c r="X12" s="57">
        <f ca="1">INDEX(LINEST( INDIRECT( $V$1 &amp; $E$36+$J$24 &amp; ":"&amp; $V$1 &amp; $E$36+$K$24+$U$29),INDIRECT( $U$1 &amp; $E$36+$J$24 &amp; ":"&amp; $U$1 &amp; $E$36+$K$24+$U$29) ^{1,2,3,4,5}),1,1)</f>
        <v>-8.0777978274322763E-7</v>
      </c>
      <c r="Y12" s="57">
        <f ca="1">INDEX(LINEST( INDIRECT( $V$1 &amp; $E$36+$J$24 &amp; ":"&amp; $V$1 &amp; $E$36+$K$24+$U$29),INDIRECT( $U$1 &amp; $E$36+$J$24 &amp; ":"&amp; $U$1 &amp; $E$36+$K$24+$U$29) ^{1,2,3,4,5,6}),1,2)</f>
        <v>1.0675110989378299E-5</v>
      </c>
      <c r="Z12" s="48"/>
    </row>
    <row r="13" spans="1:43" x14ac:dyDescent="0.2">
      <c r="A13" s="259"/>
      <c r="B13" s="260"/>
      <c r="C13" s="260"/>
      <c r="D13" s="260"/>
      <c r="E13" s="68"/>
      <c r="F13" s="68"/>
      <c r="G13" s="7"/>
      <c r="H13" s="19"/>
      <c r="J13" s="164">
        <v>1</v>
      </c>
      <c r="K13" s="32"/>
      <c r="L13" s="164">
        <v>3</v>
      </c>
      <c r="M13" s="163">
        <v>5</v>
      </c>
      <c r="N13" s="13">
        <f t="shared" ca="1" si="1"/>
        <v>0</v>
      </c>
      <c r="O13" s="12">
        <f ca="1">SLOPE(INDIRECT( G1 &amp; J19+E36 &amp; ":"&amp;G1 &amp;  K19+E36 ), INDIRECT( F1 &amp; J19+E36 &amp; ":"&amp;F1 &amp; K19+E36 ) )</f>
        <v>0.11512166666666669</v>
      </c>
      <c r="Q13" s="42"/>
      <c r="R13" s="53" t="s">
        <v>50</v>
      </c>
      <c r="S13" s="54">
        <f>2.27*EXP(-1*POWER(0.65*data!$F$4,0.9))</f>
        <v>2.0071653360305115</v>
      </c>
      <c r="T13" s="47"/>
      <c r="U13" s="57">
        <v>0</v>
      </c>
      <c r="V13" s="57">
        <v>0</v>
      </c>
      <c r="W13" s="57">
        <f ca="1">INDEX(LINEST( INDIRECT( $V$1 &amp; $E$36+$J$24 &amp; ":"&amp; $V$1 &amp; $E$36+$K$24+$U$29),INDIRECT( $U$1 &amp; $E$36+$J$24 &amp; ":"&amp; $U$1 &amp; $E$36+$K$24+$U$29) ^{1,2,3,4}),1,1)</f>
        <v>-1.55326205521395E-5</v>
      </c>
      <c r="X13" s="57">
        <f ca="1">INDEX(LINEST( INDIRECT( $V$1 &amp; $E$36+$J$24 &amp; ":"&amp; $V$1 &amp; $E$36+$K$24+$U$29),INDIRECT( $U$1 &amp; $E$36+$J$24 &amp; ":"&amp; $U$1 &amp; $E$36+$K$24+$U$29) ^{1,2,3,4,5}),1,2)</f>
        <v>2.6986556537000813E-5</v>
      </c>
      <c r="Y13" s="57">
        <f ca="1">INDEX(LINEST( INDIRECT( $V$1 &amp; $E$36+$J$24 &amp; ":"&amp; $V$1 &amp; $E$36+$K$24+$U$29),INDIRECT( $U$1 &amp; $E$36+$J$24 &amp; ":"&amp; $U$1 &amp; $E$36+$K$24+$U$29) ^{1,2,3,4,5,6}),1,3)</f>
        <v>-2.4742636783161914E-4</v>
      </c>
      <c r="Z13" s="48"/>
    </row>
    <row r="14" spans="1:43" x14ac:dyDescent="0.2">
      <c r="A14" s="259"/>
      <c r="B14" s="260"/>
      <c r="C14" s="260"/>
      <c r="D14" s="260"/>
      <c r="E14" s="67"/>
      <c r="F14" s="67"/>
      <c r="G14" s="7"/>
      <c r="H14" s="19"/>
      <c r="J14" s="33"/>
      <c r="K14" s="18"/>
      <c r="L14" s="33"/>
      <c r="M14" s="41"/>
      <c r="N14" s="13">
        <f t="shared" ca="1" si="1"/>
        <v>-8.215011311505418E-5</v>
      </c>
      <c r="O14" s="255" t="s">
        <v>20</v>
      </c>
      <c r="R14" s="49" t="s">
        <v>51</v>
      </c>
      <c r="S14" s="50">
        <f>IF($J$13=2,0.52+0.48*EXP(-1*POWER(6.5/data!$F$3,1.1)),0.52+0.48*EXP(-1*POWER(0,1.1))   )</f>
        <v>1</v>
      </c>
      <c r="T14" s="47"/>
      <c r="U14" s="57">
        <v>0</v>
      </c>
      <c r="V14" s="57">
        <f ca="1">INDEX(LINEST( INDIRECT( $V$1 &amp; $E$36+$J$24 &amp; ":"&amp; $V$1 &amp; $E$36+$K$24+$U$29),INDIRECT( $U$1 &amp; $E$36+$J$24 &amp; ":"&amp; $U$1 &amp; $E$36+$K$24+$U$29) ^{1,2,3}),1,1)</f>
        <v>-8.215011311505418E-5</v>
      </c>
      <c r="W14" s="57">
        <f ca="1">INDEX(LINEST( INDIRECT( $V$1 &amp; $E$36+$J$24 &amp; ":"&amp; $V$1 &amp; $E$36+$K$24+$U$29),INDIRECT( $U$1 &amp; $E$36+$J$24 &amp; ":"&amp; $U$1 &amp; $E$36+$K$24+$U$29) ^{1,2,3,4}),1,2)</f>
        <v>5.6876435596547403E-4</v>
      </c>
      <c r="X14" s="57">
        <f ca="1">INDEX(LINEST( INDIRECT( $V$1 &amp; $E$36+$J$24 &amp; ":"&amp; $V$1 &amp; $E$36+$K$24+$U$29),INDIRECT( $U$1 &amp; $E$36+$J$24 &amp; ":"&amp; $U$1 &amp; $E$36+$K$24+$U$29) ^{1,2,3,4,5}),1,3)</f>
        <v>-2.378671916952296E-4</v>
      </c>
      <c r="Y14" s="57">
        <f ca="1">INDEX(LINEST( INDIRECT( $V$1 &amp; $E$36+$J$24 &amp; ":"&amp; $V$1 &amp; $E$36+$K$24+$U$29),INDIRECT( $U$1 &amp; $E$36+$J$24 &amp; ":"&amp; $U$1 &amp; $E$36+$K$24+$U$29) ^{1,2,3,4,5,6}),1,4)</f>
        <v>2.8986217964268681E-3</v>
      </c>
      <c r="Z14" s="48"/>
    </row>
    <row r="15" spans="1:43" x14ac:dyDescent="0.2">
      <c r="A15" s="259"/>
      <c r="B15" s="260"/>
      <c r="C15" s="260"/>
      <c r="D15" s="260"/>
      <c r="E15" s="67"/>
      <c r="F15" s="67"/>
      <c r="G15" s="7"/>
      <c r="H15" s="19"/>
      <c r="J15" s="19"/>
      <c r="K15" s="19"/>
      <c r="L15" s="19"/>
      <c r="M15" s="255" t="s">
        <v>49</v>
      </c>
      <c r="N15" s="13">
        <f t="shared" ca="1" si="1"/>
        <v>-3.0087441899850956E-3</v>
      </c>
      <c r="O15" s="253"/>
      <c r="S15" s="46"/>
      <c r="T15" s="17"/>
      <c r="U15" s="57">
        <f ca="1">INDEX(LINEST( INDIRECT( $V$1 &amp; $E$36+$J$24 &amp; ":"&amp; $V$1 &amp; $E$36+$K$24+$U$29),INDIRECT( $U$1 &amp; $E$36+$J$24 &amp; ":"&amp; $U$1 &amp; $E$36+$K$24+$U$29) ^{1,2}),1,1)</f>
        <v>-5.5818349823533809E-3</v>
      </c>
      <c r="V15" s="57">
        <f ca="1">INDEX(LINEST( INDIRECT( $V$1 &amp; $E$36+$J$24 &amp; ":"&amp; $V$1 &amp; $E$36+$K$24+$U$29),INDIRECT( $U$1 &amp; $E$36+$J$24 &amp; ":"&amp; $U$1 &amp; $E$36+$K$24+$U$29) ^{1,2,3}),1,2)</f>
        <v>-3.0087441899850956E-3</v>
      </c>
      <c r="W15" s="57">
        <f ca="1">INDEX(LINEST( INDIRECT( $V$1 &amp; $E$36+$J$24 &amp; ":"&amp; $V$1 &amp; $E$36+$K$24+$U$29),INDIRECT( $U$1 &amp; $E$36+$J$24 &amp; ":"&amp; $U$1 &amp; $E$36+$K$24+$U$29) ^{1,2,3,4}),1,3)</f>
        <v>-1.1933919382114133E-2</v>
      </c>
      <c r="X15" s="57">
        <f ca="1">INDEX(LINEST( INDIRECT( $V$1 &amp; $E$36+$J$24 &amp; ":"&amp; $V$1 &amp; $E$36+$K$24+$U$29),INDIRECT( $U$1 &amp; $E$36+$J$24 &amp; ":"&amp; $U$1 &amp; $E$36+$K$24+$U$29) ^{1,2,3,4,5}),1,4)</f>
        <v>-5.3059553776405441E-3</v>
      </c>
      <c r="Y15" s="57">
        <f ca="1">INDEX(LINEST( INDIRECT( $V$1 &amp; $E$36+$J$24 &amp; ":"&amp; $V$1 &amp; $E$36+$K$24+$U$29),INDIRECT( $U$1 &amp; $E$36+$J$24 &amp; ":"&amp; $U$1 &amp; $E$36+$K$24+$U$29) ^{1,2,3,4,5,6}),1,5)</f>
        <v>-2.2741686172937665E-2</v>
      </c>
      <c r="Z15" s="48"/>
    </row>
    <row r="16" spans="1:43" x14ac:dyDescent="0.2">
      <c r="A16" s="259"/>
      <c r="B16" s="260"/>
      <c r="C16" s="260"/>
      <c r="D16" s="260"/>
      <c r="E16" s="67"/>
      <c r="F16" s="67"/>
      <c r="G16" s="7"/>
      <c r="H16" s="19"/>
      <c r="J16" s="34"/>
      <c r="K16" s="34"/>
      <c r="L16" s="43"/>
      <c r="M16" s="253"/>
      <c r="N16" s="13">
        <f t="shared" ca="1" si="1"/>
        <v>0.12309239428572784</v>
      </c>
      <c r="O16" s="253"/>
      <c r="S16" s="17"/>
      <c r="T16" s="17"/>
      <c r="U16" s="57">
        <f ca="1">INDEX(LINEST( INDIRECT( $V$1 &amp; $E$36+$J$24 &amp; ":"&amp; $V$1 &amp; $E$36+$K$24+$U$29),INDIRECT( $U$1 &amp; $E$36+$J$24 &amp; ":"&amp; $U$1 &amp; $E$36+$K$24+$U$29) ^{1,2}),1,2)</f>
        <v>0.14521932894146683</v>
      </c>
      <c r="V16" s="57">
        <f ca="1">INDEX(LINEST( INDIRECT( $V$1 &amp; $E$36+$J$24 &amp; ":"&amp; $V$1 &amp; $E$36+$K$24+$U$29),INDIRECT( $U$1 &amp; $E$36+$J$24 &amp; ":"&amp; $U$1 &amp; $E$36+$K$24+$U$29) ^{1,2,3}),1,3)</f>
        <v>0.12309239428572784</v>
      </c>
      <c r="W16" s="57">
        <f ca="1">INDEX(LINEST( INDIRECT( $V$1 &amp; $E$36+$J$24 &amp; ":"&amp; $V$1 &amp; $E$36+$K$24+$U$29),INDIRECT( $U$1 &amp; $E$36+$J$24 &amp; ":"&amp; $U$1 &amp; $E$36+$K$24+$U$29) ^{1,2,3,4}),1,4)</f>
        <v>0.16727784153015546</v>
      </c>
      <c r="X16" s="57">
        <f ca="1">INDEX(LINEST( INDIRECT( $V$1 &amp; $E$36+$J$24 &amp; ":"&amp; $V$1 &amp; $E$36+$K$24+$U$29),INDIRECT( $U$1 &amp; $E$36+$J$24 &amp; ":"&amp; $U$1 &amp; $E$36+$K$24+$U$29) ^{1,2,3,4,5}),1,5)</f>
        <v>0.14526688375822516</v>
      </c>
      <c r="Y16" s="57">
        <f ca="1">INDEX(LINEST( INDIRECT( $V$1 &amp; $E$36+$J$24 &amp; ":"&amp; $V$1 &amp; $E$36+$K$24+$U$29),INDIRECT( $U$1 &amp; $E$36+$J$24 &amp; ":"&amp; $U$1 &amp; $E$36+$K$24+$U$29) ^{1,2,3,4,5,6}),1,6)</f>
        <v>0.18737872556247534</v>
      </c>
      <c r="Z16" s="48"/>
    </row>
    <row r="17" spans="1:37" x14ac:dyDescent="0.2">
      <c r="A17" s="259"/>
      <c r="B17" s="260"/>
      <c r="C17" s="260"/>
      <c r="D17" s="260"/>
      <c r="E17" s="67"/>
      <c r="F17" s="67"/>
      <c r="G17" s="7"/>
      <c r="H17" s="19"/>
      <c r="J17" s="252" t="s">
        <v>8</v>
      </c>
      <c r="K17" s="252" t="s">
        <v>9</v>
      </c>
      <c r="M17" s="164">
        <v>30</v>
      </c>
      <c r="N17" s="13">
        <f t="shared" ca="1" si="1"/>
        <v>0.17773775270041278</v>
      </c>
      <c r="O17" s="12">
        <f ca="1">INTERCEPT(INDIRECT( G1 &amp; J19+E36 &amp; ":"&amp;G1 &amp;  K19+E36 ), INDIRECT( F1 &amp; J19+E36 &amp; ":"&amp;F1 &amp; K19+E36 ) )</f>
        <v>0.17072166666666669</v>
      </c>
      <c r="S17" s="17"/>
      <c r="T17" s="17"/>
      <c r="U17" s="58">
        <f ca="1">INDEX(LINEST( INDIRECT( $V$1 &amp; $E$36+$J$24 &amp; ":"&amp; $V$1 &amp; $E$36+$K$24+$U$29),INDIRECT( $U$1 &amp; $E$36+$J$24 &amp; ":"&amp; $U$1 &amp; $E$36+$K$24+$U$29) ^{1,2}),1,3)</f>
        <v>0.13440447165328773</v>
      </c>
      <c r="V17" s="58">
        <f ca="1">INDEX(LINEST( INDIRECT( $V$1 &amp; $E$36+$J$24 &amp; ":"&amp; $V$1 &amp; $E$36+$K$24+$U$29),INDIRECT( $U$1 &amp; $E$36+$J$24 &amp; ":"&amp; $U$1 &amp; $E$36+$K$24+$U$29) ^{1,2,3}),1,4)</f>
        <v>0.17773775270041278</v>
      </c>
      <c r="W17" s="58">
        <f ca="1">INDEX(LINEST( INDIRECT( $V$1 &amp; $E$36+$J$24 &amp; ":"&amp; $V$1 &amp; $E$36+$K$24+$U$29),INDIRECT( $U$1 &amp; $E$36+$J$24 &amp; ":"&amp; $U$1 &amp; $E$36+$K$24+$U$29) ^{1,2,3,4}),1,5)</f>
        <v>0.12104338216174565</v>
      </c>
      <c r="X17" s="58">
        <f ca="1">INDEX(LINEST( INDIRECT( $V$1 &amp; $E$36+$J$24 &amp; ":"&amp; $V$1 &amp; $E$36+$K$24+$U$29),INDIRECT( $U$1 &amp; $E$36+$J$24 &amp; ":"&amp; $U$1 &amp; $E$36+$K$24+$U$29) ^{1,2,3,4,5}),1,6)</f>
        <v>0.14172389400034763</v>
      </c>
      <c r="Y17" s="58">
        <f ca="1">INDEX(LINEST( INDIRECT( $V$1 &amp; $E$36+$J$24 &amp; ":"&amp; $V$1 &amp; $E$36+$K$24+$U$29),INDIRECT( $U$1 &amp; $E$36+$J$24 &amp; ":"&amp; $U$1 &amp; $E$36+$K$24+$U$29) ^{1,2,3,4,5,6}),1,7)</f>
        <v>0.11060679183954569</v>
      </c>
      <c r="Z17" s="48"/>
    </row>
    <row r="18" spans="1:37" x14ac:dyDescent="0.2">
      <c r="A18" s="259"/>
      <c r="B18" s="260"/>
      <c r="C18" s="260"/>
      <c r="D18" s="260"/>
      <c r="E18" s="67"/>
      <c r="F18" s="67"/>
      <c r="G18" s="7"/>
      <c r="H18" s="19"/>
      <c r="J18" s="213"/>
      <c r="K18" s="213"/>
      <c r="S18" s="17"/>
      <c r="T18" s="17"/>
      <c r="U18" s="7"/>
      <c r="V18" s="7"/>
      <c r="W18" s="7"/>
      <c r="X18" s="7"/>
      <c r="Y18" s="7"/>
      <c r="Z18" s="17"/>
    </row>
    <row r="19" spans="1:37" x14ac:dyDescent="0.2">
      <c r="A19" s="259"/>
      <c r="B19" s="260"/>
      <c r="C19" s="260"/>
      <c r="D19" s="260"/>
      <c r="E19" s="67"/>
      <c r="F19" s="67"/>
      <c r="G19" s="7"/>
      <c r="H19" s="19"/>
      <c r="J19" s="164">
        <v>6</v>
      </c>
      <c r="K19" s="164">
        <v>14</v>
      </c>
      <c r="L19" s="15" t="s">
        <v>16</v>
      </c>
      <c r="M19" s="15" t="s">
        <v>16</v>
      </c>
      <c r="N19" s="15" t="s">
        <v>16</v>
      </c>
      <c r="S19" s="17"/>
      <c r="T19" s="17"/>
      <c r="U19" s="7"/>
      <c r="V19" s="7"/>
      <c r="W19" s="7"/>
      <c r="X19" s="7"/>
      <c r="Y19" s="7"/>
      <c r="Z19" s="17"/>
    </row>
    <row r="20" spans="1:37" x14ac:dyDescent="0.2">
      <c r="A20" s="259"/>
      <c r="B20" s="260"/>
      <c r="C20" s="260"/>
      <c r="D20" s="260"/>
      <c r="E20" s="67"/>
      <c r="F20" s="67"/>
      <c r="G20" s="7"/>
      <c r="H20" s="19"/>
      <c r="J20" s="2">
        <f ca="1">INDIRECT($F$1 &amp; $E$36+J19)</f>
        <v>-5</v>
      </c>
      <c r="K20" s="2">
        <f ca="1">INDIRECT($F$1 &amp; $E$36+K19)</f>
        <v>3</v>
      </c>
      <c r="L20" s="12" t="e">
        <f ca="1">MAX(INDIRECT(I1&amp;E36+J24&amp;":"&amp;I1&amp;E36+K24))</f>
        <v>#N/A</v>
      </c>
      <c r="M20" s="12" t="e">
        <f ca="1">MAX(INDIRECT(J1&amp; MAX($E$36+1+($M$13-1)/2,$E$36+J24) &amp;":"&amp;J1&amp; MAX($E$36+1+($M$13-1)/2,$E$36+J24)+COUNT(J37:J136)-1))</f>
        <v>#N/A</v>
      </c>
      <c r="N20" s="12">
        <f ca="1">MAX(INDIRECT($K$1&amp;$E$36+$J$24&amp;":"&amp;$K$1&amp;$E$36+$K$24))</f>
        <v>1.0889773117936195</v>
      </c>
    </row>
    <row r="21" spans="1:37" x14ac:dyDescent="0.2">
      <c r="A21" s="259"/>
      <c r="B21" s="260"/>
      <c r="C21" s="260"/>
      <c r="D21" s="260"/>
      <c r="E21" s="64"/>
      <c r="F21" s="64"/>
      <c r="G21" s="7"/>
      <c r="H21" s="7"/>
      <c r="J21" s="2">
        <f ca="1">INDIRECT($G$1 &amp; $E$36+J19)</f>
        <v>-0.39960000000000001</v>
      </c>
      <c r="K21" s="2">
        <f ca="1">INDIRECT($G$1 &amp; $E$36+K19)</f>
        <v>0.51619999999999999</v>
      </c>
      <c r="L21" s="257" t="s">
        <v>17</v>
      </c>
      <c r="M21" s="257" t="s">
        <v>17</v>
      </c>
      <c r="N21" s="257" t="s">
        <v>17</v>
      </c>
      <c r="U21" s="167" t="b">
        <v>0</v>
      </c>
      <c r="V21" s="168">
        <v>23</v>
      </c>
      <c r="W21" s="1">
        <f ca="1">MATCH(MAX(INDIRECT($G$1&amp;$J$24+$E$36&amp;":"&amp;$G$1&amp;$K$24+$E$36)),   INDIRECT($G$1&amp;$J$24+$E$36&amp;":"&amp;$G$1&amp;$K$24+$E$36),0) + $J$24+$E$36-1</f>
        <v>62</v>
      </c>
    </row>
    <row r="22" spans="1:37" ht="12.75" customHeight="1" x14ac:dyDescent="0.2">
      <c r="A22" s="259"/>
      <c r="B22" s="260"/>
      <c r="C22" s="260"/>
      <c r="D22" s="260"/>
      <c r="E22" s="67"/>
      <c r="F22" s="67"/>
      <c r="G22" s="7"/>
      <c r="H22" s="72"/>
      <c r="J22" s="256" t="s">
        <v>12</v>
      </c>
      <c r="K22" s="256" t="s">
        <v>13</v>
      </c>
      <c r="L22" s="258"/>
      <c r="M22" s="258"/>
      <c r="N22" s="258"/>
      <c r="U22" s="1">
        <f ca="1">IF($U$21,  MATCH(   MAX(INDIRECT($G$1&amp;$J$24+$E$36&amp;":"&amp;$G$1&amp;$K$24+$E$36)),   INDIRECT($G$1&amp;$J$24+$E$36&amp;":"&amp;$G$1&amp;$K$24+$E$36),0) + $J$24+$E$36-1,    IF($V$21&lt;=$K$24, IF($V$21&gt;=$J$24,$V$21+$E$36,$J$24+$E$36),$K$24+$E$36)  )</f>
        <v>59</v>
      </c>
    </row>
    <row r="23" spans="1:37" x14ac:dyDescent="0.2">
      <c r="A23" s="259"/>
      <c r="B23" s="260"/>
      <c r="C23" s="260"/>
      <c r="D23" s="260"/>
      <c r="E23" s="67"/>
      <c r="F23" s="67"/>
      <c r="G23" s="7"/>
      <c r="H23" s="72"/>
      <c r="J23" s="218"/>
      <c r="K23" s="218"/>
      <c r="L23" s="14" t="e">
        <f ca="1">MATCH(L20,I37:I136,0)+$E$36</f>
        <v>#N/A</v>
      </c>
      <c r="M23" s="14" t="e">
        <f ca="1">MATCH(M20,J37:J136,0)+$E$36</f>
        <v>#N/A</v>
      </c>
      <c r="N23" s="20">
        <f ca="1">MATCH($N$20,$K$37:$K$136,0)+$E$36</f>
        <v>60</v>
      </c>
      <c r="P23" s="267" t="s">
        <v>31</v>
      </c>
      <c r="Q23" s="268"/>
      <c r="R23" s="267" t="s">
        <v>34</v>
      </c>
      <c r="S23" s="268"/>
    </row>
    <row r="24" spans="1:37" x14ac:dyDescent="0.2">
      <c r="A24" s="259"/>
      <c r="B24" s="260"/>
      <c r="C24" s="260"/>
      <c r="D24" s="260"/>
      <c r="E24" s="67"/>
      <c r="F24" s="67"/>
      <c r="G24" s="7"/>
      <c r="H24" s="72"/>
      <c r="J24" s="164">
        <v>12</v>
      </c>
      <c r="K24" s="165">
        <v>30</v>
      </c>
      <c r="L24" s="253" t="s">
        <v>26</v>
      </c>
      <c r="M24" s="253"/>
      <c r="N24" s="253" t="s">
        <v>27</v>
      </c>
      <c r="O24" s="254"/>
      <c r="P24" s="269"/>
      <c r="Q24" s="270"/>
      <c r="R24" s="269"/>
      <c r="S24" s="270"/>
    </row>
    <row r="25" spans="1:37" x14ac:dyDescent="0.2">
      <c r="A25" s="259"/>
      <c r="B25" s="260"/>
      <c r="C25" s="260"/>
      <c r="D25" s="260"/>
      <c r="E25" s="69"/>
      <c r="F25" s="70"/>
      <c r="G25" s="7"/>
      <c r="H25" s="72"/>
      <c r="J25" s="2">
        <f ca="1">IF(ISNUMBER(INDIRECT($F$1 &amp; $E$36+J24)),INDIRECT($F$1 &amp; $E$36+J24),NA())</f>
        <v>1</v>
      </c>
      <c r="K25" s="16">
        <f ca="1">IF(ISNUMBER(INDIRECT($F$1 &amp; $E$36+K24)),INDIRECT($F$1 &amp; $E$36+K24),NA())</f>
        <v>20</v>
      </c>
      <c r="L25" s="144" t="s">
        <v>21</v>
      </c>
      <c r="M25" s="145">
        <f ca="1">IF(L13=1,L20,IF(L13=2,M20,IF(L13=3,N20,)))</f>
        <v>1.0889773117936195</v>
      </c>
      <c r="N25" s="146" t="s">
        <v>21</v>
      </c>
      <c r="O25" s="145" t="e">
        <f>IF($J$13=2,$M$25*(0.67+0.33*EXP(-1*POWER(4/data!$F$3,2))),NA())</f>
        <v>#N/A</v>
      </c>
      <c r="P25" s="134" t="s">
        <v>21</v>
      </c>
      <c r="Q25" s="135">
        <f ca="1">IF(table_input!$A$1,table_input!$C$8,IF(ISNUMBER(O25),O25,M25))</f>
        <v>1.0889773117936195</v>
      </c>
      <c r="R25" s="134" t="s">
        <v>35</v>
      </c>
      <c r="S25" s="135">
        <f>IF(table_input!$A$1,table_input!$C$19,$S$9*$S$10)</f>
        <v>1.163225</v>
      </c>
    </row>
    <row r="26" spans="1:37" ht="12.75" customHeight="1" x14ac:dyDescent="0.2">
      <c r="A26" s="259"/>
      <c r="B26" s="260"/>
      <c r="C26" s="260"/>
      <c r="D26" s="260"/>
      <c r="E26" s="70"/>
      <c r="F26" s="70"/>
      <c r="G26" s="7"/>
      <c r="H26" s="72"/>
      <c r="J26" s="2">
        <f ca="1">IF(ISNUMBER(INDIRECT($G$1 &amp; $E$36+J24)),INDIRECT($G$1 &amp; $E$36+J24),NA())</f>
        <v>0.28710000000000002</v>
      </c>
      <c r="K26" s="16">
        <f ca="1">IF(ISNUMBER(INDIRECT($G$1 &amp; $E$36+K24)),INDIRECT($G$1 &amp; $E$36+K24),NA())</f>
        <v>0.74750000000000005</v>
      </c>
      <c r="L26" s="144" t="s">
        <v>22</v>
      </c>
      <c r="M26" s="147">
        <f ca="1">INDIRECT(F1&amp;IF(L13=1,L23,IF(L13=2,M23,IF(L13=3,N23,))))</f>
        <v>13</v>
      </c>
      <c r="N26" s="144" t="s">
        <v>22</v>
      </c>
      <c r="O26" s="147" t="e">
        <f>IF($J$13=2,$M$26+18.2*$M$25*POWER(data!$F$3,-0.9),NA())</f>
        <v>#N/A</v>
      </c>
      <c r="P26" s="136" t="s">
        <v>22</v>
      </c>
      <c r="Q26" s="137">
        <f ca="1">IF(table_input!$A$1,table_input!$C$9,IF(ISNUMBER(O26),O26,M26))</f>
        <v>13</v>
      </c>
      <c r="R26" s="136" t="s">
        <v>36</v>
      </c>
      <c r="S26" s="138">
        <f>IF(table_input!$A$1,table_input!$C$20,1.632-$S$25)</f>
        <v>0.46877499999999994</v>
      </c>
    </row>
    <row r="27" spans="1:37" x14ac:dyDescent="0.2">
      <c r="A27" s="259"/>
      <c r="B27" s="260"/>
      <c r="C27" s="260"/>
      <c r="D27" s="260"/>
      <c r="E27" s="69"/>
      <c r="F27" s="70"/>
      <c r="G27" s="94"/>
      <c r="H27" s="72"/>
      <c r="L27" s="144" t="s">
        <v>23</v>
      </c>
      <c r="M27" s="148">
        <f ca="1">$O$13</f>
        <v>0.11512166666666669</v>
      </c>
      <c r="N27" s="144" t="s">
        <v>23</v>
      </c>
      <c r="O27" s="148" t="e">
        <f>IF($J$13=2,$M$27/(1+18.2*$M$27*POWER(data!$F$3,-0.9)),NA())</f>
        <v>#N/A</v>
      </c>
      <c r="P27" s="136" t="s">
        <v>23</v>
      </c>
      <c r="Q27" s="138">
        <f ca="1">IF(table_input!$A$1,table_input!$C$10,IF(ISNUMBER(O27),O27,M27))</f>
        <v>0.11512166666666669</v>
      </c>
      <c r="R27" s="136" t="s">
        <v>37</v>
      </c>
      <c r="S27" s="138">
        <f>IF(table_input!$A$1,table_input!$C$21,$S$13*$S$14)</f>
        <v>2.0071653360305115</v>
      </c>
    </row>
    <row r="28" spans="1:37" x14ac:dyDescent="0.2">
      <c r="A28" s="259"/>
      <c r="B28" s="260"/>
      <c r="C28" s="260"/>
      <c r="D28" s="260"/>
      <c r="E28" s="70"/>
      <c r="F28" s="70"/>
      <c r="G28" s="94"/>
      <c r="H28" s="72"/>
      <c r="J28" s="144" t="s">
        <v>47</v>
      </c>
      <c r="K28" s="148">
        <f ca="1">($M$28-INDIRECT(F1&amp;(MATCH($M$28,F37:F102,1)+$E$36)))*(INDIRECT(H1&amp;(MATCH($M$28,F37:F102,1)+$E$36+1))-INDIRECT(H1&amp;(MATCH($M$28,F37:F102,1)+$E$36)))/(INDIRECT(F1&amp;(MATCH($M$28,F37:F102,1)+$E$36+1))-INDIRECT(F1&amp;(MATCH($M$28,F37:F102,1)+$E$36)))+INDIRECT(H1&amp;(MATCH($M$28,F37:F102,1)+$E$36))</f>
        <v>7.6590206185567014E-3</v>
      </c>
      <c r="L28" s="144" t="s">
        <v>24</v>
      </c>
      <c r="M28" s="145">
        <f ca="1">(0-INDIRECT(G1&amp;(MATCH(0,G37:G102,1)+$E$36)))*(INDIRECT(F1&amp;(MATCH(0,G37:G102,1)+$E$36+1))-INDIRECT(F1&amp;(MATCH(0,G37:G102,1)+$E$36)))/(INDIRECT(G1&amp;(MATCH(0,G37:G102,1)+$E$36+1))-INDIRECT(G1&amp;(MATCH(0,G37:G102,1)+$E$36)))+INDIRECT(F1&amp;(MATCH(0,G37:G102,1)+$E$36))</f>
        <v>-1.4690721649484537</v>
      </c>
      <c r="N28" s="144" t="s">
        <v>24</v>
      </c>
      <c r="O28" s="148" t="e">
        <f>IF($J$13=2,$M$28,NA())</f>
        <v>#N/A</v>
      </c>
      <c r="P28" s="136" t="s">
        <v>24</v>
      </c>
      <c r="Q28" s="138">
        <f ca="1">IF(table_input!$A$1,table_input!$C$11,IF(ISNUMBER(O28),O28,M28))</f>
        <v>-1.4690721649484537</v>
      </c>
      <c r="R28" s="142" t="s">
        <v>38</v>
      </c>
      <c r="S28" s="143">
        <f>IF(table_input!$A$1,table_input!$C$22,1+$S$25/$S$26)</f>
        <v>3.4814143245693563</v>
      </c>
      <c r="U28" s="167" t="b">
        <v>1</v>
      </c>
      <c r="V28" s="167">
        <v>135</v>
      </c>
    </row>
    <row r="29" spans="1:37" x14ac:dyDescent="0.2">
      <c r="A29" s="259"/>
      <c r="B29" s="260"/>
      <c r="C29" s="260"/>
      <c r="D29" s="260"/>
      <c r="E29" s="69"/>
      <c r="F29" s="70"/>
      <c r="G29" s="55"/>
      <c r="L29" s="146" t="s">
        <v>25</v>
      </c>
      <c r="M29" s="148">
        <f ca="1">$M$27*($M$26-$M$28)-$M$25</f>
        <v>0.57672639095552181</v>
      </c>
      <c r="N29" s="146" t="s">
        <v>25</v>
      </c>
      <c r="O29" s="148" t="e">
        <f>$O$27*($O$26-$O$28)-$O$25</f>
        <v>#N/A</v>
      </c>
      <c r="P29" s="136" t="s">
        <v>25</v>
      </c>
      <c r="Q29" s="138">
        <f ca="1">IF(table_input!$A$1,table_input!$C$12,IF(ISNUMBER(O29),O29,M29))</f>
        <v>0.57672639095552181</v>
      </c>
      <c r="R29" s="23"/>
      <c r="S29" s="27"/>
      <c r="T29" s="28"/>
      <c r="U29" s="1">
        <f>IF($U$28,1,0)</f>
        <v>1</v>
      </c>
      <c r="V29" s="1">
        <f>$V$28/100</f>
        <v>1.35</v>
      </c>
    </row>
    <row r="30" spans="1:37" ht="13.5" thickBot="1" x14ac:dyDescent="0.25">
      <c r="A30" s="259"/>
      <c r="B30" s="260"/>
      <c r="C30" s="260"/>
      <c r="D30" s="260"/>
      <c r="E30" s="70"/>
      <c r="F30" s="70"/>
      <c r="G30" s="55">
        <f ca="1">INDIRECT($U$1&amp;$K$24+$E$36+1)</f>
        <v>12</v>
      </c>
      <c r="H30" s="63"/>
      <c r="L30" s="144" t="s">
        <v>28</v>
      </c>
      <c r="M30" s="145">
        <f ca="1">INDIRECT($H$1 &amp; $E$36+$M$17)</f>
        <v>0.19691</v>
      </c>
      <c r="N30" s="144" t="s">
        <v>28</v>
      </c>
      <c r="O30" s="145" t="e">
        <f>IF($J$13=2,$M$30+0.28*POWER($M$25,2)*POWER(data!$F$3,-0.9),NA())</f>
        <v>#N/A</v>
      </c>
      <c r="P30" s="136" t="s">
        <v>28</v>
      </c>
      <c r="Q30" s="139">
        <f ca="1">IF(table_input!$A$1,table_input!$C$13,IF(ISNUMBER(O30),O30,M30))</f>
        <v>0.19691</v>
      </c>
      <c r="R30" s="23"/>
      <c r="S30" s="24"/>
    </row>
    <row r="31" spans="1:37" x14ac:dyDescent="0.2">
      <c r="A31" s="259"/>
      <c r="B31" s="260"/>
      <c r="C31" s="260"/>
      <c r="D31" s="260"/>
      <c r="E31" s="70"/>
      <c r="F31" s="70"/>
      <c r="G31" s="55">
        <f ca="1">IF(ISNUMBER($G$30), INDIRECT($G$1&amp;  MATCH($G$30,$F$37:$F$136,0)+$E$36),NA())</f>
        <v>1.0083</v>
      </c>
      <c r="H31" s="63"/>
      <c r="L31" s="144" t="s">
        <v>29</v>
      </c>
      <c r="M31" s="149">
        <f ca="1">INDIRECT($F$1 &amp; $E$36+$M$17)</f>
        <v>20</v>
      </c>
      <c r="N31" s="144" t="s">
        <v>29</v>
      </c>
      <c r="O31" s="149" t="e">
        <f>IF($J$13=2,$M$31+18.2*$M$25*POWER(data!$F$3,-0.9),NA())</f>
        <v>#N/A</v>
      </c>
      <c r="P31" s="136" t="s">
        <v>29</v>
      </c>
      <c r="Q31" s="140">
        <f ca="1">IF(table_input!$A$1,table_input!$C$14,IF(ISNUMBER(O31),O31,M31))</f>
        <v>20</v>
      </c>
      <c r="R31" s="23"/>
      <c r="S31" s="25"/>
      <c r="AA31" s="271" t="s">
        <v>76</v>
      </c>
      <c r="AB31" s="272"/>
      <c r="AC31" s="272"/>
      <c r="AD31" s="272"/>
      <c r="AE31" s="272"/>
      <c r="AF31" s="272"/>
      <c r="AG31" s="272"/>
      <c r="AH31" s="272"/>
      <c r="AI31" s="272"/>
      <c r="AJ31" s="272"/>
      <c r="AK31" s="273"/>
    </row>
    <row r="32" spans="1:37" ht="12.75" customHeight="1" x14ac:dyDescent="0.2">
      <c r="A32" s="259"/>
      <c r="B32" s="260"/>
      <c r="C32" s="260"/>
      <c r="D32" s="260"/>
      <c r="E32" s="70"/>
      <c r="F32" s="70"/>
      <c r="G32" s="55"/>
      <c r="H32" s="63"/>
      <c r="I32" s="261" t="s">
        <v>44</v>
      </c>
      <c r="J32" s="261" t="s">
        <v>45</v>
      </c>
      <c r="K32" s="261" t="s">
        <v>62</v>
      </c>
      <c r="L32" s="261" t="s">
        <v>43</v>
      </c>
      <c r="M32" s="35"/>
      <c r="N32" s="40"/>
      <c r="O32" s="36"/>
      <c r="P32" s="136" t="s">
        <v>30</v>
      </c>
      <c r="Q32" s="140">
        <f ca="1">IF(table_input!$A$1,table_input!$C$15,1+Q25/Q29)</f>
        <v>2.8882044048468094</v>
      </c>
      <c r="R32" s="23"/>
      <c r="S32" s="26"/>
      <c r="AA32" s="274"/>
      <c r="AB32" s="275"/>
      <c r="AC32" s="275"/>
      <c r="AD32" s="275"/>
      <c r="AE32" s="275"/>
      <c r="AF32" s="275"/>
      <c r="AG32" s="275"/>
      <c r="AH32" s="275"/>
      <c r="AI32" s="275"/>
      <c r="AJ32" s="275"/>
      <c r="AK32" s="276"/>
    </row>
    <row r="33" spans="1:37" ht="12.75" customHeight="1" thickBot="1" x14ac:dyDescent="0.25">
      <c r="A33" s="259"/>
      <c r="B33" s="260"/>
      <c r="C33" s="260"/>
      <c r="D33" s="260"/>
      <c r="E33" s="70"/>
      <c r="F33" s="70"/>
      <c r="G33" s="55"/>
      <c r="H33" s="63"/>
      <c r="I33" s="262"/>
      <c r="J33" s="262"/>
      <c r="K33" s="262"/>
      <c r="L33" s="262"/>
      <c r="M33" s="37"/>
      <c r="N33" s="39"/>
      <c r="O33" s="38"/>
      <c r="P33" s="136" t="s">
        <v>47</v>
      </c>
      <c r="Q33" s="141">
        <f ca="1">IF(table_input!$A$1,table_input!$C$16,K28)</f>
        <v>7.6590206185567014E-3</v>
      </c>
      <c r="AA33" s="277"/>
      <c r="AB33" s="278"/>
      <c r="AC33" s="278"/>
      <c r="AD33" s="278"/>
      <c r="AE33" s="278"/>
      <c r="AF33" s="278"/>
      <c r="AG33" s="278"/>
      <c r="AH33" s="278"/>
      <c r="AI33" s="278"/>
      <c r="AJ33" s="278"/>
      <c r="AK33" s="279"/>
    </row>
    <row r="34" spans="1:37" ht="12.75" customHeight="1" x14ac:dyDescent="0.2">
      <c r="E34" s="70"/>
      <c r="F34" s="70"/>
      <c r="G34" s="55"/>
      <c r="H34" s="63"/>
      <c r="I34" s="263"/>
      <c r="J34" s="263"/>
      <c r="K34" s="263"/>
      <c r="L34" s="263"/>
      <c r="M34" s="264" t="s">
        <v>54</v>
      </c>
      <c r="N34" s="265"/>
      <c r="O34" s="266"/>
      <c r="P34" s="173" t="s">
        <v>53</v>
      </c>
      <c r="Q34" s="174">
        <f>IF(table_input!$A$1,table_input!$C$17,$R$34/10)</f>
        <v>3.6</v>
      </c>
      <c r="R34" s="166">
        <v>36</v>
      </c>
      <c r="AA34" s="280" t="s">
        <v>0</v>
      </c>
      <c r="AB34" s="280" t="s">
        <v>41</v>
      </c>
      <c r="AC34" s="280" t="s">
        <v>39</v>
      </c>
      <c r="AD34" s="280" t="s">
        <v>40</v>
      </c>
      <c r="AE34" s="280" t="s">
        <v>42</v>
      </c>
      <c r="AF34" s="280" t="s">
        <v>2</v>
      </c>
      <c r="AG34" s="280" t="s">
        <v>52</v>
      </c>
      <c r="AH34" s="282" t="s">
        <v>61</v>
      </c>
      <c r="AI34" s="280" t="s">
        <v>56</v>
      </c>
      <c r="AJ34" s="280" t="s">
        <v>55</v>
      </c>
      <c r="AK34" s="280" t="s">
        <v>1</v>
      </c>
    </row>
    <row r="35" spans="1:37" s="5" customFormat="1" ht="13.5" thickBot="1" x14ac:dyDescent="0.25">
      <c r="E35" s="1"/>
      <c r="F35" s="1"/>
      <c r="G35" s="1"/>
      <c r="H35" s="1"/>
      <c r="I35" s="106"/>
      <c r="J35" s="106"/>
      <c r="K35" s="106"/>
      <c r="L35" s="106"/>
      <c r="M35" s="107"/>
      <c r="N35" s="107"/>
      <c r="O35" s="107"/>
      <c r="P35" s="76"/>
      <c r="Q35" s="83"/>
      <c r="R35" s="103"/>
      <c r="S35"/>
      <c r="T35"/>
      <c r="U35" s="1"/>
      <c r="V35" s="1"/>
      <c r="W35" s="1"/>
      <c r="X35" s="1"/>
      <c r="Y35" s="1"/>
      <c r="Z35"/>
      <c r="AA35" s="281"/>
      <c r="AB35" s="281"/>
      <c r="AC35" s="281"/>
      <c r="AD35" s="281"/>
      <c r="AE35" s="281"/>
      <c r="AF35" s="281"/>
      <c r="AG35" s="281"/>
      <c r="AH35" s="283"/>
      <c r="AI35" s="281"/>
      <c r="AJ35" s="281"/>
      <c r="AK35" s="281"/>
    </row>
    <row r="36" spans="1:37" x14ac:dyDescent="0.2">
      <c r="E36" s="55">
        <f>ROW()</f>
        <v>36</v>
      </c>
      <c r="F36" s="6" t="s">
        <v>0</v>
      </c>
      <c r="G36" s="6" t="s">
        <v>2</v>
      </c>
      <c r="H36" s="6" t="s">
        <v>1</v>
      </c>
      <c r="I36" s="106"/>
      <c r="J36" s="106"/>
      <c r="K36" s="106"/>
      <c r="L36" s="106"/>
      <c r="M36" s="107"/>
      <c r="N36" s="107"/>
      <c r="O36" s="107"/>
      <c r="P36" s="76"/>
      <c r="Q36" s="83"/>
      <c r="R36" s="103"/>
      <c r="AA36" s="21">
        <v>-30</v>
      </c>
      <c r="AB36" s="11">
        <f t="shared" ref="AB36:AB99" ca="1" si="2">IF(AA36&gt;=$Q$28,$Q$27*(AA36-$Q$28)-$Q$29*POWER((AA36-$Q$28)/($Q$26-$Q$28),$Q$32),              $Q$27*(AA36-$Q$28)+$Q$29*POWER(($Q$28-AA36)/($Q$26-$Q$28),$Q$32))</f>
        <v>0.81401708529484251</v>
      </c>
      <c r="AC36" s="11" t="e">
        <f t="shared" ref="AC36:AC99" ca="1" si="3">IF(AND($Q$28&lt;=AA36,AA36&lt;$Q$26),0,IF(AND($Q$26&lt;=AA36,AA36&lt;=92),-0.032*(AA36-92)-$S$26*POWER((92-AA36)/51,$S$28),IF(AA36&gt;92,-0.032*(AA36-92)+$S$26*POWER((AA36-92)/51,$S$28),NA())))</f>
        <v>#N/A</v>
      </c>
      <c r="AD36" s="11">
        <f t="shared" ref="AD36:AD99" ca="1" si="4">IF(AA36&lt;=$Q$28,-1*FORECAST(-AA36+2*$Q$28,OFFSET(positiveCL2,MATCH(-AA36+2*$Q$28,angles,1)-1,0,2),OFFSET(angles,MATCH(-AA36+2*$Q$28,angles,1)-1,0,2)),NA())</f>
        <v>-0.99085968510169342</v>
      </c>
      <c r="AE36" s="11">
        <f ca="1">IF(NOT(OR(ISNUMBER(AC36),ISNUMBER(AD36))),0,IF(ISNUMBER(AC36),AC36,AD36))</f>
        <v>-0.99085968510169342</v>
      </c>
      <c r="AF36" s="11">
        <f t="shared" ref="AF36:AF99" ca="1" si="5">IF(AA36&gt;=$Q$28,MAX(AB36,AE36),MIN(AB36,AE36))</f>
        <v>-0.99085968510169342</v>
      </c>
      <c r="AG36" s="11">
        <f t="shared" ref="AG36:AG67" ca="1" si="6">IF(AND(2*$Q$28-$Q$31&lt;=AA36,AA36&lt;=$Q$31),$Q$33+($Q$30-$Q$33)*POWER(ABS((AA36-$Q$28)/($Q$31-$Q$28)),$Q$34),0)</f>
        <v>0</v>
      </c>
      <c r="AH36" s="11" t="e">
        <f ca="1">IF(AND(2*$Q$28-$Q$31&lt;AA36,AA36&lt;$Q$31),AG36,IF(AA36&gt;=$Q$31,$Q$30+($S$27-$Q$30)*SIN((AA36-$Q$31)*90*PI()/((90-$Q$31)*180)),NA()))</f>
        <v>#N/A</v>
      </c>
      <c r="AI36" s="11">
        <f ca="1">IF(AA36&lt;=2*$Q$28-$Q$31, FORECAST(-AA36+2*$Q$28,OFFSET(positiveCD2,MATCH(-AA36+2*$Q$28,angles,1)-1,0,2),OFFSET(angles,MATCH(-AA36+2*$Q$28,angles,1)-1,0,2)), NA())</f>
        <v>0.48257347434719433</v>
      </c>
      <c r="AJ36" s="11">
        <f ca="1">IF(NOT(OR(ISNUMBER(AH36),ISNUMBER(AI36))),0,IF(ISNUMBER(AH36),AH36,AI36))</f>
        <v>0.48257347434719433</v>
      </c>
      <c r="AK36" s="11">
        <f ca="1">IF(AG36=0,AJ36,AG36)</f>
        <v>0.48257347434719433</v>
      </c>
    </row>
    <row r="37" spans="1:37" x14ac:dyDescent="0.2">
      <c r="E37" s="3">
        <v>1</v>
      </c>
      <c r="F37">
        <f>IF(ISNUMBER(data!F37),data!F37,NA())</f>
        <v>-10</v>
      </c>
      <c r="G37">
        <f>IF(ISNUMBER(data!G37),data!G37,NA())</f>
        <v>-0.77410000000000001</v>
      </c>
      <c r="H37">
        <f>IF(ISNUMBER(data!H37),data!H37,NA())</f>
        <v>1.9709999999999998E-2</v>
      </c>
      <c r="I37" s="45" t="e">
        <f t="shared" ref="I37:I100" si="7">IF( AND(E37&gt;=$J$24,E37&lt;=$K$24,$L$13=1),G37,NA())</f>
        <v>#N/A</v>
      </c>
      <c r="J37" s="45" t="e">
        <f t="shared" ref="J37:J68" ca="1" si="8">IF(AND(ISNUMBER(INDIRECT($G$1&amp;$E$36+E37+($M$13-1)/2)),ISNUMBER(INDIRECT($G$1&amp;$E$36+E37-($M$13-1)/2)),E37&gt;=$J$24,E37&lt;=$K$24,$L$13=2), AVERAGE(INDIRECT($G$1&amp;$E$36+E37-($M$13-1)/2 &amp;":"&amp;$G$1&amp;$E$36+E37+($M$13-1)/2)),NA())</f>
        <v>#N/A</v>
      </c>
      <c r="K37" s="45" t="e">
        <f>IF( AND(E37&gt;=$J$24,E37&lt;=$K$24,$L$13=3),$N$11*POWER(F37,6)+$N$12*POWER(F37,5)+$N$13*POWER(F37,4)+$N$14*POWER(F37,3)+$N$15*POWER(F37,2)+$N$16*F37+$N$17,NA())</f>
        <v>#N/A</v>
      </c>
      <c r="L37" s="45" t="e">
        <f t="shared" ref="L37:L100" ca="1" si="9">IF(AND(E37&gt;=$J$19,F37&lt;=$M$26,ISNUMBER(F37)),$O$13*F37+$O$17,NA())</f>
        <v>#N/A</v>
      </c>
      <c r="M37" s="5"/>
      <c r="N37" s="62"/>
      <c r="O37" s="5"/>
      <c r="P37" s="5"/>
      <c r="Q37" s="5"/>
      <c r="R37" s="5"/>
      <c r="S37" s="5"/>
      <c r="T37" s="5"/>
      <c r="U37" s="3" t="e">
        <f t="shared" ref="U37:U68" ca="1" si="10">IF( AND(E37&gt;=$J$24,E37&lt;=$K$24,$L$13=3),F37,IF(E37=$K$24+$U$29,INDIRECT($F$1&amp;$U$22),NA()))</f>
        <v>#N/A</v>
      </c>
      <c r="V37" s="3" t="e">
        <f t="shared" ref="V37:V68" ca="1" si="11">IF( AND(E37&gt;=$J$24,E37&lt;=$K$24,$L$13=3),G37,IF(E37=$K$24+$U$29,$V$29*INDIRECT($G$1&amp;$U$22),NA()))</f>
        <v>#N/A</v>
      </c>
      <c r="W37" s="3"/>
      <c r="X37" s="3"/>
      <c r="Y37" s="3"/>
      <c r="Z37" s="5"/>
      <c r="AA37" s="21">
        <v>-29</v>
      </c>
      <c r="AB37" s="11">
        <f t="shared" ca="1" si="2"/>
        <v>0.52782694602532887</v>
      </c>
      <c r="AC37" s="11" t="e">
        <f t="shared" ca="1" si="3"/>
        <v>#N/A</v>
      </c>
      <c r="AD37" s="11">
        <f t="shared" ca="1" si="4"/>
        <v>-0.96345561478841524</v>
      </c>
      <c r="AE37" s="11">
        <f ca="1">IF(NOT(OR(ISNUMBER(AC37),ISNUMBER(AD37))),0,IF(ISNUMBER(AC37),AC37,AD37))</f>
        <v>-0.96345561478841524</v>
      </c>
      <c r="AF37" s="11">
        <f t="shared" ca="1" si="5"/>
        <v>-0.96345561478841524</v>
      </c>
      <c r="AG37" s="11">
        <f t="shared" ca="1" si="6"/>
        <v>0</v>
      </c>
      <c r="AH37" s="11" t="e">
        <f t="shared" ref="AH37:AH100" ca="1" si="12">IF(AND(2*$Q$28-$Q$31&lt;AA37,AA37&lt;$Q$31),AG37,IF(AA37&gt;=$Q$31,$Q$30+($S$27-$Q$30)*SIN((AA37-$Q$31)*90*PI()/((90-$Q$31)*180)),NA()))</f>
        <v>#N/A</v>
      </c>
      <c r="AI37" s="11">
        <f t="shared" ref="AI37:AI99" ca="1" si="13">IF(AA37&lt;=2*$Q$28-$Q$31, FORECAST(-AA37+2*$Q$28,OFFSET(positiveCD2,MATCH(-AA37+2*$Q$28,angles,1)-1,0,2),OFFSET(angles,MATCH(-AA37+2*$Q$28,angles,1)-1,0,2)), NA())</f>
        <v>0.44239245516409609</v>
      </c>
      <c r="AJ37" s="11">
        <f t="shared" ref="AJ37:AJ100" ca="1" si="14">IF(NOT(OR(ISNUMBER(AH37),ISNUMBER(AI37))),0,IF(ISNUMBER(AH37),AH37,AI37))</f>
        <v>0.44239245516409609</v>
      </c>
      <c r="AK37" s="11">
        <f t="shared" ref="AK37:AK100" ca="1" si="15">IF(AG37=0,AJ37,AG37)</f>
        <v>0.44239245516409609</v>
      </c>
    </row>
    <row r="38" spans="1:37" x14ac:dyDescent="0.2">
      <c r="E38" s="1">
        <v>2</v>
      </c>
      <c r="F38">
        <f>IF(ISNUMBER(data!F38),data!F38,NA())</f>
        <v>-9</v>
      </c>
      <c r="G38">
        <f>IF(ISNUMBER(data!G38),data!G38,NA())</f>
        <v>-0.72460000000000002</v>
      </c>
      <c r="H38">
        <f>IF(ISNUMBER(data!H38),data!H38,NA())</f>
        <v>1.6709999999999999E-2</v>
      </c>
      <c r="I38" s="11" t="e">
        <f t="shared" si="7"/>
        <v>#N/A</v>
      </c>
      <c r="J38" s="11" t="e">
        <f t="shared" ca="1" si="8"/>
        <v>#N/A</v>
      </c>
      <c r="K38" s="45" t="e">
        <f t="shared" ref="K38:K101" si="16">IF( AND(E38&gt;=$J$24,E38&lt;=$K$24,$L$13=3),$N$11*POWER(F38,6)+$N$12*POWER(F38,5)+$N$13*POWER(F38,4)+$N$14*POWER(F38,3)+$N$15*POWER(F38,2)+$N$16*F38+$N$17,NA())</f>
        <v>#N/A</v>
      </c>
      <c r="L38" s="11" t="e">
        <f t="shared" ca="1" si="9"/>
        <v>#N/A</v>
      </c>
      <c r="U38" s="3" t="e">
        <f t="shared" ca="1" si="10"/>
        <v>#N/A</v>
      </c>
      <c r="V38" s="3" t="e">
        <f t="shared" ca="1" si="11"/>
        <v>#N/A</v>
      </c>
      <c r="W38" s="3"/>
      <c r="AA38" s="21">
        <v>-28</v>
      </c>
      <c r="AB38" s="11">
        <f t="shared" ca="1" si="2"/>
        <v>0.26823838133568501</v>
      </c>
      <c r="AC38" s="11" t="e">
        <f t="shared" ca="1" si="3"/>
        <v>#N/A</v>
      </c>
      <c r="AD38" s="11">
        <f t="shared" ca="1" si="4"/>
        <v>-0.9337734938415424</v>
      </c>
      <c r="AE38" s="11">
        <f t="shared" ref="AE38:AE101" ca="1" si="17">IF(NOT(OR(ISNUMBER(AC38),ISNUMBER(AD38))),0,IF(ISNUMBER(AC38),AC38,AD38))</f>
        <v>-0.9337734938415424</v>
      </c>
      <c r="AF38" s="11">
        <f t="shared" ca="1" si="5"/>
        <v>-0.9337734938415424</v>
      </c>
      <c r="AG38" s="11">
        <f t="shared" ca="1" si="6"/>
        <v>0</v>
      </c>
      <c r="AH38" s="11" t="e">
        <f t="shared" ca="1" si="12"/>
        <v>#N/A</v>
      </c>
      <c r="AI38" s="11">
        <f t="shared" ca="1" si="13"/>
        <v>0.40208782817212163</v>
      </c>
      <c r="AJ38" s="11">
        <f t="shared" ca="1" si="14"/>
        <v>0.40208782817212163</v>
      </c>
      <c r="AK38" s="11">
        <f t="shared" ca="1" si="15"/>
        <v>0.40208782817212163</v>
      </c>
    </row>
    <row r="39" spans="1:37" x14ac:dyDescent="0.2">
      <c r="E39" s="1">
        <v>3</v>
      </c>
      <c r="F39">
        <f>IF(ISNUMBER(data!F39),data!F39,NA())</f>
        <v>-8</v>
      </c>
      <c r="G39">
        <f>IF(ISNUMBER(data!G39),data!G39,NA())</f>
        <v>-0.67400000000000004</v>
      </c>
      <c r="H39">
        <f>IF(ISNUMBER(data!H39),data!H39,NA())</f>
        <v>1.4970000000000001E-2</v>
      </c>
      <c r="I39" s="11" t="e">
        <f t="shared" si="7"/>
        <v>#N/A</v>
      </c>
      <c r="J39" s="11" t="e">
        <f t="shared" ca="1" si="8"/>
        <v>#N/A</v>
      </c>
      <c r="K39" s="45" t="e">
        <f t="shared" si="16"/>
        <v>#N/A</v>
      </c>
      <c r="L39" s="11" t="e">
        <f t="shared" ca="1" si="9"/>
        <v>#N/A</v>
      </c>
      <c r="U39" s="3" t="e">
        <f t="shared" ca="1" si="10"/>
        <v>#N/A</v>
      </c>
      <c r="V39" s="3" t="e">
        <f t="shared" ca="1" si="11"/>
        <v>#N/A</v>
      </c>
      <c r="W39" s="3"/>
      <c r="AA39" s="21">
        <v>-27</v>
      </c>
      <c r="AB39" s="11">
        <f t="shared" ca="1" si="2"/>
        <v>3.4391381662817633E-2</v>
      </c>
      <c r="AC39" s="11" t="e">
        <f t="shared" ca="1" si="3"/>
        <v>#N/A</v>
      </c>
      <c r="AD39" s="11">
        <f t="shared" ca="1" si="4"/>
        <v>-0.90176195684545302</v>
      </c>
      <c r="AE39" s="11">
        <f t="shared" ca="1" si="17"/>
        <v>-0.90176195684545302</v>
      </c>
      <c r="AF39" s="11">
        <f t="shared" ca="1" si="5"/>
        <v>-0.90176195684545302</v>
      </c>
      <c r="AG39" s="11">
        <f t="shared" ca="1" si="6"/>
        <v>0</v>
      </c>
      <c r="AH39" s="11" t="e">
        <f t="shared" ca="1" si="12"/>
        <v>#N/A</v>
      </c>
      <c r="AI39" s="11">
        <f t="shared" ca="1" si="13"/>
        <v>0.36167988796473483</v>
      </c>
      <c r="AJ39" s="11">
        <f t="shared" ca="1" si="14"/>
        <v>0.36167988796473483</v>
      </c>
      <c r="AK39" s="11">
        <f t="shared" ca="1" si="15"/>
        <v>0.36167988796473483</v>
      </c>
    </row>
    <row r="40" spans="1:37" x14ac:dyDescent="0.2">
      <c r="E40" s="1">
        <v>4</v>
      </c>
      <c r="F40">
        <f>IF(ISNUMBER(data!F40),data!F40,NA())</f>
        <v>-7</v>
      </c>
      <c r="G40">
        <f>IF(ISNUMBER(data!G40),data!G40,NA())</f>
        <v>-0.59370000000000001</v>
      </c>
      <c r="H40">
        <f>IF(ISNUMBER(data!H40),data!H40,NA())</f>
        <v>1.304E-2</v>
      </c>
      <c r="I40" s="11" t="e">
        <f t="shared" si="7"/>
        <v>#N/A</v>
      </c>
      <c r="J40" s="11" t="e">
        <f t="shared" ca="1" si="8"/>
        <v>#N/A</v>
      </c>
      <c r="K40" s="45" t="e">
        <f t="shared" si="16"/>
        <v>#N/A</v>
      </c>
      <c r="L40" s="11" t="e">
        <f t="shared" ca="1" si="9"/>
        <v>#N/A</v>
      </c>
      <c r="U40" s="3" t="e">
        <f t="shared" ca="1" si="10"/>
        <v>#N/A</v>
      </c>
      <c r="V40" s="3" t="e">
        <f t="shared" ca="1" si="11"/>
        <v>#N/A</v>
      </c>
      <c r="W40" s="3"/>
      <c r="AA40" s="21">
        <v>-26</v>
      </c>
      <c r="AB40" s="11">
        <f t="shared" ca="1" si="2"/>
        <v>-0.17457769596708417</v>
      </c>
      <c r="AC40" s="11" t="e">
        <f t="shared" ca="1" si="3"/>
        <v>#N/A</v>
      </c>
      <c r="AD40" s="11">
        <f t="shared" ca="1" si="4"/>
        <v>-0.86736926761633448</v>
      </c>
      <c r="AE40" s="11">
        <f t="shared" ca="1" si="17"/>
        <v>-0.86736926761633448</v>
      </c>
      <c r="AF40" s="11">
        <f t="shared" ca="1" si="5"/>
        <v>-0.86736926761633448</v>
      </c>
      <c r="AG40" s="11">
        <f t="shared" ca="1" si="6"/>
        <v>0</v>
      </c>
      <c r="AH40" s="11" t="e">
        <f t="shared" ca="1" si="12"/>
        <v>#N/A</v>
      </c>
      <c r="AI40" s="11">
        <f t="shared" ca="1" si="13"/>
        <v>0.32118898115671479</v>
      </c>
      <c r="AJ40" s="11">
        <f t="shared" ca="1" si="14"/>
        <v>0.32118898115671479</v>
      </c>
      <c r="AK40" s="11">
        <f t="shared" ca="1" si="15"/>
        <v>0.32118898115671479</v>
      </c>
    </row>
    <row r="41" spans="1:37" x14ac:dyDescent="0.2">
      <c r="E41" s="1">
        <v>5</v>
      </c>
      <c r="F41">
        <f>IF(ISNUMBER(data!F41),data!F41,NA())</f>
        <v>-6</v>
      </c>
      <c r="G41">
        <f>IF(ISNUMBER(data!G41),data!G41,NA())</f>
        <v>-0.497</v>
      </c>
      <c r="H41">
        <f>IF(ISNUMBER(data!H41),data!H41,NA())</f>
        <v>1.166E-2</v>
      </c>
      <c r="I41" s="11" t="e">
        <f t="shared" si="7"/>
        <v>#N/A</v>
      </c>
      <c r="J41" s="11" t="e">
        <f t="shared" ca="1" si="8"/>
        <v>#N/A</v>
      </c>
      <c r="K41" s="45" t="e">
        <f t="shared" si="16"/>
        <v>#N/A</v>
      </c>
      <c r="L41" s="11" t="e">
        <f t="shared" ca="1" si="9"/>
        <v>#N/A</v>
      </c>
      <c r="U41" s="3" t="e">
        <f t="shared" ca="1" si="10"/>
        <v>#N/A</v>
      </c>
      <c r="V41" s="3" t="e">
        <f t="shared" ca="1" si="11"/>
        <v>#N/A</v>
      </c>
      <c r="W41" s="3"/>
      <c r="AA41" s="21">
        <v>-25</v>
      </c>
      <c r="AB41" s="11">
        <f t="shared" ca="1" si="2"/>
        <v>-0.35953628667393867</v>
      </c>
      <c r="AC41" s="11" t="e">
        <f t="shared" ca="1" si="3"/>
        <v>#N/A</v>
      </c>
      <c r="AD41" s="11">
        <f t="shared" ca="1" si="4"/>
        <v>-0.8305433220428069</v>
      </c>
      <c r="AE41" s="11">
        <f t="shared" ca="1" si="17"/>
        <v>-0.8305433220428069</v>
      </c>
      <c r="AF41" s="11">
        <f t="shared" ca="1" si="5"/>
        <v>-0.8305433220428069</v>
      </c>
      <c r="AG41" s="11">
        <f t="shared" ca="1" si="6"/>
        <v>0</v>
      </c>
      <c r="AH41" s="11" t="e">
        <f t="shared" ca="1" si="12"/>
        <v>#N/A</v>
      </c>
      <c r="AI41" s="11">
        <f t="shared" ca="1" si="13"/>
        <v>0.2806354961390225</v>
      </c>
      <c r="AJ41" s="11">
        <f t="shared" ca="1" si="14"/>
        <v>0.2806354961390225</v>
      </c>
      <c r="AK41" s="11">
        <f t="shared" ca="1" si="15"/>
        <v>0.2806354961390225</v>
      </c>
    </row>
    <row r="42" spans="1:37" x14ac:dyDescent="0.2">
      <c r="E42" s="1">
        <v>6</v>
      </c>
      <c r="F42">
        <f>IF(ISNUMBER(data!F42),data!F42,NA())</f>
        <v>-5</v>
      </c>
      <c r="G42">
        <f>IF(ISNUMBER(data!G42),data!G42,NA())</f>
        <v>-0.39960000000000001</v>
      </c>
      <c r="H42">
        <f>IF(ISNUMBER(data!H42),data!H42,NA())</f>
        <v>9.4500000000000001E-3</v>
      </c>
      <c r="I42" s="11" t="e">
        <f t="shared" si="7"/>
        <v>#N/A</v>
      </c>
      <c r="J42" s="11" t="e">
        <f t="shared" ca="1" si="8"/>
        <v>#N/A</v>
      </c>
      <c r="K42" s="45" t="e">
        <f t="shared" si="16"/>
        <v>#N/A</v>
      </c>
      <c r="L42" s="11">
        <f t="shared" ca="1" si="9"/>
        <v>-0.40488666666666684</v>
      </c>
      <c r="U42" s="3" t="e">
        <f t="shared" ca="1" si="10"/>
        <v>#N/A</v>
      </c>
      <c r="V42" s="3" t="e">
        <f t="shared" ca="1" si="11"/>
        <v>#N/A</v>
      </c>
      <c r="W42" s="3"/>
      <c r="AA42" s="21">
        <v>-24</v>
      </c>
      <c r="AB42" s="11">
        <f t="shared" ca="1" si="2"/>
        <v>-0.5213557901776591</v>
      </c>
      <c r="AC42" s="11" t="e">
        <f t="shared" ca="1" si="3"/>
        <v>#N/A</v>
      </c>
      <c r="AD42" s="11">
        <f t="shared" ca="1" si="4"/>
        <v>-0.79123165086373159</v>
      </c>
      <c r="AE42" s="11">
        <f t="shared" ca="1" si="17"/>
        <v>-0.79123165086373159</v>
      </c>
      <c r="AF42" s="11">
        <f t="shared" ca="1" si="5"/>
        <v>-0.79123165086373159</v>
      </c>
      <c r="AG42" s="11">
        <f t="shared" ca="1" si="6"/>
        <v>0</v>
      </c>
      <c r="AH42" s="11" t="e">
        <f t="shared" ca="1" si="12"/>
        <v>#N/A</v>
      </c>
      <c r="AI42" s="11">
        <f t="shared" ca="1" si="13"/>
        <v>0.24003985281263207</v>
      </c>
      <c r="AJ42" s="11">
        <f t="shared" ca="1" si="14"/>
        <v>0.24003985281263207</v>
      </c>
      <c r="AK42" s="11">
        <f t="shared" ca="1" si="15"/>
        <v>0.24003985281263207</v>
      </c>
    </row>
    <row r="43" spans="1:37" x14ac:dyDescent="0.2">
      <c r="E43" s="1">
        <v>7</v>
      </c>
      <c r="F43">
        <f>IF(ISNUMBER(data!F43),data!F43,NA())</f>
        <v>-4</v>
      </c>
      <c r="G43">
        <f>IF(ISNUMBER(data!G43),data!G43,NA())</f>
        <v>-0.29170000000000001</v>
      </c>
      <c r="H43">
        <f>IF(ISNUMBER(data!H43),data!H43,NA())</f>
        <v>7.9299999999999995E-3</v>
      </c>
      <c r="I43" s="11" t="e">
        <f t="shared" si="7"/>
        <v>#N/A</v>
      </c>
      <c r="J43" s="11" t="e">
        <f t="shared" ca="1" si="8"/>
        <v>#N/A</v>
      </c>
      <c r="K43" s="45" t="e">
        <f t="shared" si="16"/>
        <v>#N/A</v>
      </c>
      <c r="L43" s="11">
        <f t="shared" ca="1" si="9"/>
        <v>-0.28976500000000005</v>
      </c>
      <c r="U43" s="3" t="e">
        <f t="shared" ca="1" si="10"/>
        <v>#N/A</v>
      </c>
      <c r="V43" s="3" t="e">
        <f t="shared" ca="1" si="11"/>
        <v>#N/A</v>
      </c>
      <c r="W43" s="3"/>
      <c r="AA43" s="21">
        <v>-23</v>
      </c>
      <c r="AB43" s="11">
        <f t="shared" ca="1" si="2"/>
        <v>-0.66091175879314012</v>
      </c>
      <c r="AC43" s="11" t="e">
        <f t="shared" ca="1" si="3"/>
        <v>#N/A</v>
      </c>
      <c r="AD43" s="11">
        <f t="shared" ca="1" si="4"/>
        <v>-0.74938142238548788</v>
      </c>
      <c r="AE43" s="11">
        <f t="shared" ca="1" si="17"/>
        <v>-0.74938142238548788</v>
      </c>
      <c r="AF43" s="11">
        <f t="shared" ca="1" si="5"/>
        <v>-0.74938142238548788</v>
      </c>
      <c r="AG43" s="11">
        <f t="shared" ca="1" si="6"/>
        <v>0</v>
      </c>
      <c r="AH43" s="11" t="e">
        <f t="shared" ca="1" si="12"/>
        <v>#N/A</v>
      </c>
      <c r="AI43" s="11">
        <f t="shared" ca="1" si="13"/>
        <v>0.19942249230649545</v>
      </c>
      <c r="AJ43" s="11">
        <f t="shared" ca="1" si="14"/>
        <v>0.19942249230649545</v>
      </c>
      <c r="AK43" s="11">
        <f t="shared" ca="1" si="15"/>
        <v>0.19942249230649545</v>
      </c>
    </row>
    <row r="44" spans="1:37" x14ac:dyDescent="0.2">
      <c r="E44" s="1">
        <v>8</v>
      </c>
      <c r="F44">
        <f>IF(ISNUMBER(data!F44),data!F44,NA())</f>
        <v>-3</v>
      </c>
      <c r="G44">
        <f>IF(ISNUMBER(data!G44),data!G44,NA())</f>
        <v>-0.17760000000000001</v>
      </c>
      <c r="H44">
        <f>IF(ISNUMBER(data!H44),data!H44,NA())</f>
        <v>7.6299999999999996E-3</v>
      </c>
      <c r="I44" s="11" t="e">
        <f t="shared" si="7"/>
        <v>#N/A</v>
      </c>
      <c r="J44" s="11" t="e">
        <f t="shared" ca="1" si="8"/>
        <v>#N/A</v>
      </c>
      <c r="K44" s="45" t="e">
        <f t="shared" si="16"/>
        <v>#N/A</v>
      </c>
      <c r="L44" s="11">
        <f t="shared" ca="1" si="9"/>
        <v>-0.1746433333333334</v>
      </c>
      <c r="U44" s="3" t="e">
        <f t="shared" ca="1" si="10"/>
        <v>#N/A</v>
      </c>
      <c r="V44" s="3" t="e">
        <f t="shared" ca="1" si="11"/>
        <v>#N/A</v>
      </c>
      <c r="W44" s="3"/>
      <c r="AA44" s="21">
        <v>-22</v>
      </c>
      <c r="AB44" s="11">
        <f t="shared" ca="1" si="2"/>
        <v>-0.77908410312343634</v>
      </c>
      <c r="AC44" s="11" t="e">
        <f t="shared" ca="1" si="3"/>
        <v>#N/A</v>
      </c>
      <c r="AD44" s="11">
        <f t="shared" ca="1" si="4"/>
        <v>-0.7049394451408707</v>
      </c>
      <c r="AE44" s="11">
        <f t="shared" ca="1" si="17"/>
        <v>-0.7049394451408707</v>
      </c>
      <c r="AF44" s="11">
        <f t="shared" ca="1" si="5"/>
        <v>-0.77908410312343634</v>
      </c>
      <c r="AG44" s="11">
        <f t="shared" ca="1" si="6"/>
        <v>0.16879080557442319</v>
      </c>
      <c r="AH44" s="11">
        <f t="shared" ca="1" si="12"/>
        <v>0.16879080557442319</v>
      </c>
      <c r="AI44" s="11" t="e">
        <f t="shared" ca="1" si="13"/>
        <v>#N/A</v>
      </c>
      <c r="AJ44" s="11">
        <f t="shared" ca="1" si="14"/>
        <v>0.16879080557442319</v>
      </c>
      <c r="AK44" s="11">
        <f t="shared" ca="1" si="15"/>
        <v>0.16879080557442319</v>
      </c>
    </row>
    <row r="45" spans="1:37" x14ac:dyDescent="0.2">
      <c r="E45" s="1">
        <v>9</v>
      </c>
      <c r="F45">
        <f>IF(ISNUMBER(data!F45),data!F45,NA())</f>
        <v>-2</v>
      </c>
      <c r="G45">
        <f>IF(ISNUMBER(data!G45),data!G45,NA())</f>
        <v>-6.1800000000000001E-2</v>
      </c>
      <c r="H45">
        <f>IF(ISNUMBER(data!H45),data!H45,NA())</f>
        <v>7.5900000000000004E-3</v>
      </c>
      <c r="I45" s="11" t="e">
        <f t="shared" si="7"/>
        <v>#N/A</v>
      </c>
      <c r="J45" s="11" t="e">
        <f t="shared" ca="1" si="8"/>
        <v>#N/A</v>
      </c>
      <c r="K45" s="45" t="e">
        <f t="shared" si="16"/>
        <v>#N/A</v>
      </c>
      <c r="L45" s="11">
        <f t="shared" ca="1" si="9"/>
        <v>-5.9521666666666695E-2</v>
      </c>
      <c r="U45" s="3" t="e">
        <f t="shared" ca="1" si="10"/>
        <v>#N/A</v>
      </c>
      <c r="V45" s="3" t="e">
        <f t="shared" ca="1" si="11"/>
        <v>#N/A</v>
      </c>
      <c r="W45" s="3"/>
      <c r="AA45" s="21">
        <v>-21</v>
      </c>
      <c r="AB45" s="11">
        <f t="shared" ca="1" si="2"/>
        <v>-0.87675731802263823</v>
      </c>
      <c r="AC45" s="11" t="e">
        <f t="shared" ca="1" si="3"/>
        <v>#N/A</v>
      </c>
      <c r="AD45" s="11">
        <f t="shared" ca="1" si="4"/>
        <v>-0.65785217049165501</v>
      </c>
      <c r="AE45" s="11">
        <f t="shared" ca="1" si="17"/>
        <v>-0.65785217049165501</v>
      </c>
      <c r="AF45" s="11">
        <f t="shared" ca="1" si="5"/>
        <v>-0.87675731802263823</v>
      </c>
      <c r="AG45" s="11">
        <f t="shared" ca="1" si="6"/>
        <v>0.14227998394821675</v>
      </c>
      <c r="AH45" s="11">
        <f t="shared" ca="1" si="12"/>
        <v>0.14227998394821675</v>
      </c>
      <c r="AI45" s="11" t="e">
        <f t="shared" ca="1" si="13"/>
        <v>#N/A</v>
      </c>
      <c r="AJ45" s="11">
        <f t="shared" ca="1" si="14"/>
        <v>0.14227998394821675</v>
      </c>
      <c r="AK45" s="11">
        <f t="shared" ca="1" si="15"/>
        <v>0.14227998394821675</v>
      </c>
    </row>
    <row r="46" spans="1:37" x14ac:dyDescent="0.2">
      <c r="E46" s="1">
        <v>10</v>
      </c>
      <c r="F46">
        <f>IF(ISNUMBER(data!F46),data!F46,NA())</f>
        <v>-1</v>
      </c>
      <c r="G46">
        <f>IF(ISNUMBER(data!G46),data!G46,NA())</f>
        <v>5.4600000000000003E-2</v>
      </c>
      <c r="H46">
        <f>IF(ISNUMBER(data!H46),data!H46,NA())</f>
        <v>7.7200000000000003E-3</v>
      </c>
      <c r="I46" s="11" t="e">
        <f t="shared" si="7"/>
        <v>#N/A</v>
      </c>
      <c r="J46" s="11" t="e">
        <f t="shared" ca="1" si="8"/>
        <v>#N/A</v>
      </c>
      <c r="K46" s="45" t="e">
        <f t="shared" si="16"/>
        <v>#N/A</v>
      </c>
      <c r="L46" s="11">
        <f t="shared" ca="1" si="9"/>
        <v>5.5599999999999997E-2</v>
      </c>
      <c r="U46" s="3" t="e">
        <f t="shared" ca="1" si="10"/>
        <v>#N/A</v>
      </c>
      <c r="V46" s="3" t="e">
        <f t="shared" ca="1" si="11"/>
        <v>#N/A</v>
      </c>
      <c r="W46" s="3"/>
      <c r="AA46" s="21">
        <v>-20</v>
      </c>
      <c r="AB46" s="11">
        <f t="shared" ca="1" si="2"/>
        <v>-0.95482073191819605</v>
      </c>
      <c r="AC46" s="11" t="e">
        <f t="shared" ca="1" si="3"/>
        <v>#N/A</v>
      </c>
      <c r="AD46" s="11">
        <f t="shared" ca="1" si="4"/>
        <v>-0.60806569517678499</v>
      </c>
      <c r="AE46" s="11">
        <f t="shared" ca="1" si="17"/>
        <v>-0.60806569517678499</v>
      </c>
      <c r="AF46" s="11">
        <f t="shared" ca="1" si="5"/>
        <v>-0.95482073191819605</v>
      </c>
      <c r="AG46" s="11">
        <f t="shared" ca="1" si="6"/>
        <v>0.11907311537841667</v>
      </c>
      <c r="AH46" s="11">
        <f t="shared" ca="1" si="12"/>
        <v>0.11907311537841667</v>
      </c>
      <c r="AI46" s="11" t="e">
        <f t="shared" ca="1" si="13"/>
        <v>#N/A</v>
      </c>
      <c r="AJ46" s="11">
        <f t="shared" ca="1" si="14"/>
        <v>0.11907311537841667</v>
      </c>
      <c r="AK46" s="11">
        <f t="shared" ca="1" si="15"/>
        <v>0.11907311537841667</v>
      </c>
    </row>
    <row r="47" spans="1:37" x14ac:dyDescent="0.2">
      <c r="E47" s="1">
        <v>11</v>
      </c>
      <c r="F47">
        <f>IF(ISNUMBER(data!F47),data!F47,NA())</f>
        <v>0</v>
      </c>
      <c r="G47">
        <f>IF(ISNUMBER(data!G47),data!G47,NA())</f>
        <v>0.1709</v>
      </c>
      <c r="H47">
        <f>IF(ISNUMBER(data!H47),data!H47,NA())</f>
        <v>7.6400000000000001E-3</v>
      </c>
      <c r="I47" s="11" t="e">
        <f t="shared" si="7"/>
        <v>#N/A</v>
      </c>
      <c r="J47" s="11" t="e">
        <f t="shared" ca="1" si="8"/>
        <v>#N/A</v>
      </c>
      <c r="K47" s="45" t="e">
        <f t="shared" si="16"/>
        <v>#N/A</v>
      </c>
      <c r="L47" s="11">
        <f t="shared" ca="1" si="9"/>
        <v>0.17072166666666669</v>
      </c>
      <c r="U47" s="3" t="e">
        <f t="shared" ca="1" si="10"/>
        <v>#N/A</v>
      </c>
      <c r="V47" s="3" t="e">
        <f t="shared" ca="1" si="11"/>
        <v>#N/A</v>
      </c>
      <c r="W47" s="3"/>
      <c r="AA47" s="21">
        <v>-19</v>
      </c>
      <c r="AB47" s="11">
        <f t="shared" ca="1" si="2"/>
        <v>-1.0141687832373936</v>
      </c>
      <c r="AC47" s="11" t="e">
        <f t="shared" ca="1" si="3"/>
        <v>#N/A</v>
      </c>
      <c r="AD47" s="11">
        <f t="shared" ca="1" si="4"/>
        <v>-0.55552576380804908</v>
      </c>
      <c r="AE47" s="11">
        <f t="shared" ca="1" si="17"/>
        <v>-0.55552576380804908</v>
      </c>
      <c r="AF47" s="11">
        <f t="shared" ca="1" si="5"/>
        <v>-1.0141687832373936</v>
      </c>
      <c r="AG47" s="11">
        <f t="shared" ca="1" si="6"/>
        <v>9.8903792542198249E-2</v>
      </c>
      <c r="AH47" s="11">
        <f t="shared" ca="1" si="12"/>
        <v>9.8903792542198249E-2</v>
      </c>
      <c r="AI47" s="11" t="e">
        <f t="shared" ca="1" si="13"/>
        <v>#N/A</v>
      </c>
      <c r="AJ47" s="11">
        <f t="shared" ca="1" si="14"/>
        <v>9.8903792542198249E-2</v>
      </c>
      <c r="AK47" s="11">
        <f t="shared" ca="1" si="15"/>
        <v>9.8903792542198249E-2</v>
      </c>
    </row>
    <row r="48" spans="1:37" x14ac:dyDescent="0.2">
      <c r="E48" s="1">
        <v>12</v>
      </c>
      <c r="F48">
        <f>IF(ISNUMBER(data!F48),data!F48,NA())</f>
        <v>1</v>
      </c>
      <c r="G48">
        <f>IF(ISNUMBER(data!G48),data!G48,NA())</f>
        <v>0.28710000000000002</v>
      </c>
      <c r="H48">
        <f>IF(ISNUMBER(data!H48),data!H48,NA())</f>
        <v>7.77E-3</v>
      </c>
      <c r="I48" s="45" t="e">
        <f t="shared" si="7"/>
        <v>#N/A</v>
      </c>
      <c r="J48" s="11" t="e">
        <f t="shared" ca="1" si="8"/>
        <v>#N/A</v>
      </c>
      <c r="K48" s="45">
        <f t="shared" ca="1" si="16"/>
        <v>0.29773925268304047</v>
      </c>
      <c r="L48" s="11">
        <f t="shared" ca="1" si="9"/>
        <v>0.28584333333333339</v>
      </c>
      <c r="U48" s="3">
        <f t="shared" ca="1" si="10"/>
        <v>1</v>
      </c>
      <c r="V48" s="3">
        <f t="shared" ca="1" si="11"/>
        <v>0.28710000000000002</v>
      </c>
      <c r="W48" s="3"/>
      <c r="AA48" s="21">
        <v>-18</v>
      </c>
      <c r="AB48" s="11">
        <f t="shared" ca="1" si="2"/>
        <v>-1.0557013285198014</v>
      </c>
      <c r="AC48" s="11" t="e">
        <f t="shared" ca="1" si="3"/>
        <v>#N/A</v>
      </c>
      <c r="AD48" s="11">
        <f t="shared" ca="1" si="4"/>
        <v>-0.50017777131500218</v>
      </c>
      <c r="AE48" s="11">
        <f t="shared" ca="1" si="17"/>
        <v>-0.50017777131500218</v>
      </c>
      <c r="AF48" s="11">
        <f t="shared" ca="1" si="5"/>
        <v>-1.0557013285198014</v>
      </c>
      <c r="AG48" s="11">
        <f t="shared" ca="1" si="6"/>
        <v>8.1514100249846372E-2</v>
      </c>
      <c r="AH48" s="11">
        <f t="shared" ca="1" si="12"/>
        <v>8.1514100249846372E-2</v>
      </c>
      <c r="AI48" s="11" t="e">
        <f t="shared" ca="1" si="13"/>
        <v>#N/A</v>
      </c>
      <c r="AJ48" s="11">
        <f t="shared" ca="1" si="14"/>
        <v>8.1514100249846372E-2</v>
      </c>
      <c r="AK48" s="11">
        <f t="shared" ca="1" si="15"/>
        <v>8.1514100249846372E-2</v>
      </c>
    </row>
    <row r="49" spans="5:37" x14ac:dyDescent="0.2">
      <c r="E49" s="1">
        <v>13</v>
      </c>
      <c r="F49">
        <f>IF(ISNUMBER(data!F49),data!F49,NA())</f>
        <v>2</v>
      </c>
      <c r="G49">
        <f>IF(ISNUMBER(data!G49),data!G49,NA())</f>
        <v>0.40229999999999999</v>
      </c>
      <c r="H49">
        <f>IF(ISNUMBER(data!H49),data!H49,NA())</f>
        <v>7.8499999999999993E-3</v>
      </c>
      <c r="I49" s="11" t="e">
        <f t="shared" si="7"/>
        <v>#N/A</v>
      </c>
      <c r="J49" s="11" t="e">
        <f t="shared" ca="1" si="8"/>
        <v>#N/A</v>
      </c>
      <c r="K49" s="45">
        <f t="shared" ca="1" si="16"/>
        <v>0.41123036360700765</v>
      </c>
      <c r="L49" s="11">
        <f t="shared" ca="1" si="9"/>
        <v>0.40096500000000007</v>
      </c>
      <c r="U49" s="3">
        <f t="shared" ca="1" si="10"/>
        <v>2</v>
      </c>
      <c r="V49" s="3">
        <f t="shared" ca="1" si="11"/>
        <v>0.40229999999999999</v>
      </c>
      <c r="W49" s="3"/>
      <c r="AA49" s="21">
        <v>-17</v>
      </c>
      <c r="AB49" s="11">
        <f t="shared" ca="1" si="2"/>
        <v>-1.0803239878809179</v>
      </c>
      <c r="AC49" s="11" t="e">
        <f t="shared" ca="1" si="3"/>
        <v>#N/A</v>
      </c>
      <c r="AD49" s="11">
        <f t="shared" ca="1" si="4"/>
        <v>-0.4419667653408359</v>
      </c>
      <c r="AE49" s="11">
        <f t="shared" ca="1" si="17"/>
        <v>-0.4419667653408359</v>
      </c>
      <c r="AF49" s="11">
        <f t="shared" ca="1" si="5"/>
        <v>-1.0803239878809179</v>
      </c>
      <c r="AG49" s="11">
        <f t="shared" ca="1" si="6"/>
        <v>6.6654806267580052E-2</v>
      </c>
      <c r="AH49" s="11">
        <f t="shared" ca="1" si="12"/>
        <v>6.6654806267580052E-2</v>
      </c>
      <c r="AI49" s="11" t="e">
        <f t="shared" ca="1" si="13"/>
        <v>#N/A</v>
      </c>
      <c r="AJ49" s="11">
        <f t="shared" ca="1" si="14"/>
        <v>6.6654806267580052E-2</v>
      </c>
      <c r="AK49" s="11">
        <f t="shared" ca="1" si="15"/>
        <v>6.6654806267580052E-2</v>
      </c>
    </row>
    <row r="50" spans="5:37" x14ac:dyDescent="0.2">
      <c r="E50" s="1">
        <v>14</v>
      </c>
      <c r="F50">
        <f>IF(ISNUMBER(data!F50),data!F50,NA())</f>
        <v>3</v>
      </c>
      <c r="G50">
        <f>IF(ISNUMBER(data!G50),data!G50,NA())</f>
        <v>0.51619999999999999</v>
      </c>
      <c r="H50">
        <f>IF(ISNUMBER(data!H50),data!H50,NA())</f>
        <v>8.0800000000000004E-3</v>
      </c>
      <c r="I50" s="11" t="e">
        <f t="shared" si="7"/>
        <v>#N/A</v>
      </c>
      <c r="J50" s="11" t="e">
        <f t="shared" ca="1" si="8"/>
        <v>#N/A</v>
      </c>
      <c r="K50" s="45">
        <f t="shared" ca="1" si="16"/>
        <v>0.51771818479362397</v>
      </c>
      <c r="L50" s="11">
        <f t="shared" ca="1" si="9"/>
        <v>0.5160866666666668</v>
      </c>
      <c r="U50" s="3">
        <f t="shared" ca="1" si="10"/>
        <v>3</v>
      </c>
      <c r="V50" s="3">
        <f t="shared" ca="1" si="11"/>
        <v>0.51619999999999999</v>
      </c>
      <c r="W50" s="3"/>
      <c r="AA50" s="21">
        <v>-16</v>
      </c>
      <c r="AB50" s="11">
        <f t="shared" ca="1" si="2"/>
        <v>-1.088948534913883</v>
      </c>
      <c r="AC50" s="11" t="e">
        <f t="shared" ca="1" si="3"/>
        <v>#N/A</v>
      </c>
      <c r="AD50" s="11">
        <f t="shared" ca="1" si="4"/>
        <v>-0.3808374485907976</v>
      </c>
      <c r="AE50" s="11">
        <f t="shared" ca="1" si="17"/>
        <v>-0.3808374485907976</v>
      </c>
      <c r="AF50" s="11">
        <f t="shared" ca="1" si="5"/>
        <v>-1.088948534913883</v>
      </c>
      <c r="AG50" s="11">
        <f t="shared" ca="1" si="6"/>
        <v>5.4085568062941854E-2</v>
      </c>
      <c r="AH50" s="11">
        <f t="shared" ca="1" si="12"/>
        <v>5.4085568062941854E-2</v>
      </c>
      <c r="AI50" s="11" t="e">
        <f t="shared" ca="1" si="13"/>
        <v>#N/A</v>
      </c>
      <c r="AJ50" s="11">
        <f t="shared" ca="1" si="14"/>
        <v>5.4085568062941854E-2</v>
      </c>
      <c r="AK50" s="11">
        <f t="shared" ca="1" si="15"/>
        <v>5.4085568062941854E-2</v>
      </c>
    </row>
    <row r="51" spans="5:37" x14ac:dyDescent="0.2">
      <c r="E51" s="1">
        <v>15</v>
      </c>
      <c r="F51">
        <f>IF(ISNUMBER(data!F51),data!F51,NA())</f>
        <v>4</v>
      </c>
      <c r="G51">
        <f>IF(ISNUMBER(data!G51),data!G51,NA())</f>
        <v>0.62660000000000005</v>
      </c>
      <c r="H51">
        <f>IF(ISNUMBER(data!H51),data!H51,NA())</f>
        <v>8.26E-3</v>
      </c>
      <c r="I51" s="11" t="e">
        <f t="shared" si="7"/>
        <v>#N/A</v>
      </c>
      <c r="J51" s="11" t="e">
        <f t="shared" ca="1" si="8"/>
        <v>#N/A</v>
      </c>
      <c r="K51" s="45">
        <f t="shared" ca="1" si="16"/>
        <v>0.61670981556419913</v>
      </c>
      <c r="L51" s="11">
        <f t="shared" ca="1" si="9"/>
        <v>0.63120833333333348</v>
      </c>
      <c r="U51" s="3">
        <f t="shared" ca="1" si="10"/>
        <v>4</v>
      </c>
      <c r="V51" s="3">
        <f t="shared" ca="1" si="11"/>
        <v>0.62660000000000005</v>
      </c>
      <c r="W51" s="3"/>
      <c r="AA51" s="21">
        <v>-15</v>
      </c>
      <c r="AB51" s="11">
        <f t="shared" ca="1" si="2"/>
        <v>-1.0824933400109074</v>
      </c>
      <c r="AC51" s="11" t="e">
        <f t="shared" ca="1" si="3"/>
        <v>#N/A</v>
      </c>
      <c r="AD51" s="11">
        <f t="shared" ca="1" si="4"/>
        <v>-2.3322375762648839E-2</v>
      </c>
      <c r="AE51" s="11">
        <f t="shared" ca="1" si="17"/>
        <v>-2.3322375762648839E-2</v>
      </c>
      <c r="AF51" s="11">
        <f t="shared" ca="1" si="5"/>
        <v>-1.0824933400109074</v>
      </c>
      <c r="AG51" s="11">
        <f t="shared" ca="1" si="6"/>
        <v>4.3575157898458727E-2</v>
      </c>
      <c r="AH51" s="11">
        <f t="shared" ca="1" si="12"/>
        <v>4.3575157898458727E-2</v>
      </c>
      <c r="AI51" s="11" t="e">
        <f t="shared" ca="1" si="13"/>
        <v>#N/A</v>
      </c>
      <c r="AJ51" s="11">
        <f t="shared" ca="1" si="14"/>
        <v>4.3575157898458727E-2</v>
      </c>
      <c r="AK51" s="11">
        <f t="shared" ca="1" si="15"/>
        <v>4.3575157898458727E-2</v>
      </c>
    </row>
    <row r="52" spans="5:37" x14ac:dyDescent="0.2">
      <c r="E52" s="1">
        <v>16</v>
      </c>
      <c r="F52">
        <f>IF(ISNUMBER(data!F52),data!F52,NA())</f>
        <v>5</v>
      </c>
      <c r="G52">
        <f>IF(ISNUMBER(data!G52),data!G52,NA())</f>
        <v>0.73280000000000001</v>
      </c>
      <c r="H52">
        <f>IF(ISNUMBER(data!H52),data!H52,NA())</f>
        <v>8.9499999999999996E-3</v>
      </c>
      <c r="I52" s="11" t="e">
        <f t="shared" si="7"/>
        <v>#N/A</v>
      </c>
      <c r="J52" s="11" t="e">
        <f t="shared" ca="1" si="8"/>
        <v>#N/A</v>
      </c>
      <c r="K52" s="45">
        <f t="shared" ca="1" si="16"/>
        <v>0.70771235524004283</v>
      </c>
      <c r="L52" s="11">
        <f t="shared" ca="1" si="9"/>
        <v>0.74633000000000016</v>
      </c>
      <c r="U52" s="3">
        <f t="shared" ca="1" si="10"/>
        <v>5</v>
      </c>
      <c r="V52" s="3">
        <f t="shared" ca="1" si="11"/>
        <v>0.73280000000000001</v>
      </c>
      <c r="W52" s="3"/>
      <c r="AA52" s="21">
        <v>-14</v>
      </c>
      <c r="AB52" s="11">
        <f t="shared" ca="1" si="2"/>
        <v>-1.0618838786553706</v>
      </c>
      <c r="AC52" s="11" t="e">
        <f t="shared" ca="1" si="3"/>
        <v>#N/A</v>
      </c>
      <c r="AD52" s="11">
        <f t="shared" ca="1" si="4"/>
        <v>0</v>
      </c>
      <c r="AE52" s="11">
        <f t="shared" ca="1" si="17"/>
        <v>0</v>
      </c>
      <c r="AF52" s="11">
        <f t="shared" ca="1" si="5"/>
        <v>-1.0618838786553706</v>
      </c>
      <c r="AG52" s="11">
        <f t="shared" ca="1" si="6"/>
        <v>3.4901709259274064E-2</v>
      </c>
      <c r="AH52" s="11">
        <f t="shared" ca="1" si="12"/>
        <v>3.4901709259274064E-2</v>
      </c>
      <c r="AI52" s="11" t="e">
        <f t="shared" ca="1" si="13"/>
        <v>#N/A</v>
      </c>
      <c r="AJ52" s="11">
        <f t="shared" ca="1" si="14"/>
        <v>3.4901709259274064E-2</v>
      </c>
      <c r="AK52" s="11">
        <f t="shared" ca="1" si="15"/>
        <v>3.4901709259274064E-2</v>
      </c>
    </row>
    <row r="53" spans="5:37" x14ac:dyDescent="0.2">
      <c r="E53" s="1">
        <v>17</v>
      </c>
      <c r="F53">
        <f>IF(ISNUMBER(data!F53),data!F53,NA())</f>
        <v>6</v>
      </c>
      <c r="G53">
        <f>IF(ISNUMBER(data!G53),data!G53,NA())</f>
        <v>0.81640000000000001</v>
      </c>
      <c r="H53">
        <f>IF(ISNUMBER(data!H53),data!H53,NA())</f>
        <v>1.1169999999999999E-2</v>
      </c>
      <c r="I53" s="11" t="e">
        <f t="shared" si="7"/>
        <v>#N/A</v>
      </c>
      <c r="J53" s="11" t="e">
        <f t="shared" ca="1" si="8"/>
        <v>#N/A</v>
      </c>
      <c r="K53" s="45">
        <f t="shared" ca="1" si="16"/>
        <v>0.79023290314246475</v>
      </c>
      <c r="L53" s="11">
        <f t="shared" ca="1" si="9"/>
        <v>0.86145166666666684</v>
      </c>
      <c r="U53" s="3">
        <f t="shared" ca="1" si="10"/>
        <v>6</v>
      </c>
      <c r="V53" s="3">
        <f t="shared" ca="1" si="11"/>
        <v>0.81640000000000001</v>
      </c>
      <c r="W53" s="3"/>
      <c r="AA53" s="21">
        <v>-13</v>
      </c>
      <c r="AB53" s="11">
        <f t="shared" ca="1" si="2"/>
        <v>-1.0280533197887629</v>
      </c>
      <c r="AC53" s="11" t="e">
        <f t="shared" ca="1" si="3"/>
        <v>#N/A</v>
      </c>
      <c r="AD53" s="11">
        <f t="shared" ca="1" si="4"/>
        <v>0</v>
      </c>
      <c r="AE53" s="11">
        <f t="shared" ca="1" si="17"/>
        <v>0</v>
      </c>
      <c r="AF53" s="11">
        <f t="shared" ca="1" si="5"/>
        <v>-1.0280533197887629</v>
      </c>
      <c r="AG53" s="11">
        <f t="shared" ca="1" si="6"/>
        <v>2.7852988340294628E-2</v>
      </c>
      <c r="AH53" s="11">
        <f t="shared" ca="1" si="12"/>
        <v>2.7852988340294628E-2</v>
      </c>
      <c r="AI53" s="11" t="e">
        <f t="shared" ca="1" si="13"/>
        <v>#N/A</v>
      </c>
      <c r="AJ53" s="11">
        <f t="shared" ca="1" si="14"/>
        <v>2.7852988340294628E-2</v>
      </c>
      <c r="AK53" s="11">
        <f t="shared" ca="1" si="15"/>
        <v>2.7852988340294628E-2</v>
      </c>
    </row>
    <row r="54" spans="5:37" x14ac:dyDescent="0.2">
      <c r="E54" s="1">
        <v>18</v>
      </c>
      <c r="F54">
        <f>IF(ISNUMBER(data!F54),data!F54,NA())</f>
        <v>7</v>
      </c>
      <c r="G54">
        <f>IF(ISNUMBER(data!G54),data!G54,NA())</f>
        <v>0.88560000000000005</v>
      </c>
      <c r="H54">
        <f>IF(ISNUMBER(data!H54),data!H54,NA())</f>
        <v>1.3339999999999999E-2</v>
      </c>
      <c r="I54" s="11" t="e">
        <f t="shared" si="7"/>
        <v>#N/A</v>
      </c>
      <c r="J54" s="11" t="e">
        <f t="shared" ca="1" si="8"/>
        <v>#N/A</v>
      </c>
      <c r="K54" s="45">
        <f t="shared" ca="1" si="16"/>
        <v>0.86377855859277441</v>
      </c>
      <c r="L54" s="11">
        <f t="shared" ca="1" si="9"/>
        <v>0.97657333333333352</v>
      </c>
      <c r="U54" s="3">
        <f t="shared" ca="1" si="10"/>
        <v>7</v>
      </c>
      <c r="V54" s="3">
        <f t="shared" ca="1" si="11"/>
        <v>0.88560000000000005</v>
      </c>
      <c r="W54" s="3"/>
      <c r="AA54" s="21">
        <v>-12</v>
      </c>
      <c r="AB54" s="11">
        <f t="shared" ca="1" si="2"/>
        <v>-0.98194321438167642</v>
      </c>
      <c r="AC54" s="11" t="e">
        <f t="shared" ca="1" si="3"/>
        <v>#N/A</v>
      </c>
      <c r="AD54" s="11">
        <f t="shared" ca="1" si="4"/>
        <v>0</v>
      </c>
      <c r="AE54" s="11">
        <f t="shared" ca="1" si="17"/>
        <v>0</v>
      </c>
      <c r="AF54" s="11">
        <f t="shared" ca="1" si="5"/>
        <v>-0.98194321438167642</v>
      </c>
      <c r="AG54" s="11">
        <f t="shared" ca="1" si="6"/>
        <v>2.2226695314756805E-2</v>
      </c>
      <c r="AH54" s="11">
        <f t="shared" ca="1" si="12"/>
        <v>2.2226695314756805E-2</v>
      </c>
      <c r="AI54" s="11" t="e">
        <f t="shared" ca="1" si="13"/>
        <v>#N/A</v>
      </c>
      <c r="AJ54" s="11">
        <f t="shared" ca="1" si="14"/>
        <v>2.2226695314756805E-2</v>
      </c>
      <c r="AK54" s="11">
        <f t="shared" ca="1" si="15"/>
        <v>2.2226695314756805E-2</v>
      </c>
    </row>
    <row r="55" spans="5:37" x14ac:dyDescent="0.2">
      <c r="E55" s="1">
        <v>19</v>
      </c>
      <c r="F55">
        <f>IF(ISNUMBER(data!F55),data!F55,NA())</f>
        <v>8</v>
      </c>
      <c r="G55">
        <f>IF(ISNUMBER(data!G55),data!G55,NA())</f>
        <v>0.92300000000000004</v>
      </c>
      <c r="H55">
        <f>IF(ISNUMBER(data!H55),data!H55,NA())</f>
        <v>1.516E-2</v>
      </c>
      <c r="I55" s="11" t="e">
        <f t="shared" si="7"/>
        <v>#N/A</v>
      </c>
      <c r="J55" s="11" t="e">
        <f t="shared" ca="1" si="8"/>
        <v>#N/A</v>
      </c>
      <c r="K55" s="45">
        <f t="shared" ca="1" si="16"/>
        <v>0.9278564209122816</v>
      </c>
      <c r="L55" s="11">
        <f t="shared" ca="1" si="9"/>
        <v>1.0916950000000003</v>
      </c>
      <c r="U55" s="3">
        <f t="shared" ca="1" si="10"/>
        <v>8</v>
      </c>
      <c r="V55" s="3">
        <f t="shared" ca="1" si="11"/>
        <v>0.92300000000000004</v>
      </c>
      <c r="W55" s="3"/>
      <c r="AA55" s="21">
        <v>-11</v>
      </c>
      <c r="AB55" s="11">
        <f t="shared" ca="1" si="2"/>
        <v>-0.92450431163011815</v>
      </c>
      <c r="AC55" s="11" t="e">
        <f t="shared" ca="1" si="3"/>
        <v>#N/A</v>
      </c>
      <c r="AD55" s="11">
        <f t="shared" ca="1" si="4"/>
        <v>0</v>
      </c>
      <c r="AE55" s="11">
        <f t="shared" ca="1" si="17"/>
        <v>0</v>
      </c>
      <c r="AF55" s="11">
        <f t="shared" ca="1" si="5"/>
        <v>-0.92450431163011815</v>
      </c>
      <c r="AG55" s="11">
        <f t="shared" ca="1" si="6"/>
        <v>1.783080147780703E-2</v>
      </c>
      <c r="AH55" s="11">
        <f t="shared" ca="1" si="12"/>
        <v>1.783080147780703E-2</v>
      </c>
      <c r="AI55" s="11" t="e">
        <f t="shared" ca="1" si="13"/>
        <v>#N/A</v>
      </c>
      <c r="AJ55" s="11">
        <f t="shared" ca="1" si="14"/>
        <v>1.783080147780703E-2</v>
      </c>
      <c r="AK55" s="11">
        <f t="shared" ca="1" si="15"/>
        <v>1.783080147780703E-2</v>
      </c>
    </row>
    <row r="56" spans="5:37" x14ac:dyDescent="0.2">
      <c r="E56" s="1">
        <v>20</v>
      </c>
      <c r="F56">
        <f>IF(ISNUMBER(data!F56),data!F56,NA())</f>
        <v>9</v>
      </c>
      <c r="G56">
        <f>IF(ISNUMBER(data!G56),data!G56,NA())</f>
        <v>0.92859999999999998</v>
      </c>
      <c r="H56">
        <f>IF(ISNUMBER(data!H56),data!H56,NA())</f>
        <v>1.7430000000000001E-2</v>
      </c>
      <c r="I56" s="11" t="e">
        <f t="shared" si="7"/>
        <v>#N/A</v>
      </c>
      <c r="J56" s="11" t="e">
        <f t="shared" ca="1" si="8"/>
        <v>#N/A</v>
      </c>
      <c r="K56" s="45">
        <f t="shared" ca="1" si="16"/>
        <v>0.98197358942229618</v>
      </c>
      <c r="L56" s="11">
        <f t="shared" ca="1" si="9"/>
        <v>1.2068166666666669</v>
      </c>
      <c r="U56" s="3">
        <f t="shared" ca="1" si="10"/>
        <v>9</v>
      </c>
      <c r="V56" s="3">
        <f t="shared" ca="1" si="11"/>
        <v>0.92859999999999998</v>
      </c>
      <c r="W56" s="3"/>
      <c r="AA56" s="21">
        <v>-10</v>
      </c>
      <c r="AB56" s="11">
        <f t="shared" ca="1" si="2"/>
        <v>-0.85669754110285601</v>
      </c>
      <c r="AC56" s="11" t="e">
        <f t="shared" ca="1" si="3"/>
        <v>#N/A</v>
      </c>
      <c r="AD56" s="11">
        <f t="shared" ca="1" si="4"/>
        <v>0</v>
      </c>
      <c r="AE56" s="11">
        <f t="shared" ca="1" si="17"/>
        <v>0</v>
      </c>
      <c r="AF56" s="11">
        <f t="shared" ca="1" si="5"/>
        <v>-0.85669754110285601</v>
      </c>
      <c r="AG56" s="11">
        <f t="shared" ca="1" si="6"/>
        <v>1.4483930296128454E-2</v>
      </c>
      <c r="AH56" s="11">
        <f t="shared" ca="1" si="12"/>
        <v>1.4483930296128454E-2</v>
      </c>
      <c r="AI56" s="11" t="e">
        <f t="shared" ca="1" si="13"/>
        <v>#N/A</v>
      </c>
      <c r="AJ56" s="11">
        <f t="shared" ca="1" si="14"/>
        <v>1.4483930296128454E-2</v>
      </c>
      <c r="AK56" s="11">
        <f t="shared" ca="1" si="15"/>
        <v>1.4483930296128454E-2</v>
      </c>
    </row>
    <row r="57" spans="5:37" x14ac:dyDescent="0.2">
      <c r="E57" s="1">
        <v>21</v>
      </c>
      <c r="F57">
        <f>IF(ISNUMBER(data!F57),data!F57,NA())</f>
        <v>10</v>
      </c>
      <c r="G57">
        <f>IF(ISNUMBER(data!G57),data!G57,NA())</f>
        <v>0.9677</v>
      </c>
      <c r="H57">
        <f>IF(ISNUMBER(data!H57),data!H57,NA())</f>
        <v>2.0369999999999999E-2</v>
      </c>
      <c r="I57" s="11" t="e">
        <f t="shared" si="7"/>
        <v>#N/A</v>
      </c>
      <c r="J57" s="11" t="e">
        <f t="shared" ca="1" si="8"/>
        <v>#N/A</v>
      </c>
      <c r="K57" s="45">
        <f t="shared" ca="1" si="16"/>
        <v>1.0256371634441275</v>
      </c>
      <c r="L57" s="11">
        <f t="shared" ca="1" si="9"/>
        <v>1.3219383333333337</v>
      </c>
      <c r="U57" s="3">
        <f t="shared" ca="1" si="10"/>
        <v>10</v>
      </c>
      <c r="V57" s="3">
        <f t="shared" ca="1" si="11"/>
        <v>0.9677</v>
      </c>
      <c r="W57" s="3"/>
      <c r="AA57" s="21">
        <v>-9</v>
      </c>
      <c r="AB57" s="11">
        <f t="shared" ca="1" si="2"/>
        <v>-0.77949521606029404</v>
      </c>
      <c r="AC57" s="11" t="e">
        <f t="shared" ca="1" si="3"/>
        <v>#N/A</v>
      </c>
      <c r="AD57" s="11">
        <f t="shared" ca="1" si="4"/>
        <v>0</v>
      </c>
      <c r="AE57" s="11">
        <f t="shared" ca="1" si="17"/>
        <v>0</v>
      </c>
      <c r="AF57" s="11">
        <f t="shared" ca="1" si="5"/>
        <v>-0.77949521606029404</v>
      </c>
      <c r="AG57" s="11">
        <f t="shared" ca="1" si="6"/>
        <v>1.2015793215124628E-2</v>
      </c>
      <c r="AH57" s="11">
        <f t="shared" ca="1" si="12"/>
        <v>1.2015793215124628E-2</v>
      </c>
      <c r="AI57" s="11" t="e">
        <f t="shared" ca="1" si="13"/>
        <v>#N/A</v>
      </c>
      <c r="AJ57" s="11">
        <f t="shared" ca="1" si="14"/>
        <v>1.2015793215124628E-2</v>
      </c>
      <c r="AK57" s="11">
        <f t="shared" ca="1" si="15"/>
        <v>1.2015793215124628E-2</v>
      </c>
    </row>
    <row r="58" spans="5:37" x14ac:dyDescent="0.2">
      <c r="E58" s="1">
        <v>22</v>
      </c>
      <c r="F58">
        <f>IF(ISNUMBER(data!F58),data!F58,NA())</f>
        <v>11</v>
      </c>
      <c r="G58">
        <f>IF(ISNUMBER(data!G58),data!G58,NA())</f>
        <v>0.99050000000000005</v>
      </c>
      <c r="H58">
        <f>IF(ISNUMBER(data!H58),data!H58,NA())</f>
        <v>2.4500000000000001E-2</v>
      </c>
      <c r="I58" s="11" t="e">
        <f t="shared" si="7"/>
        <v>#N/A</v>
      </c>
      <c r="J58" s="11" t="e">
        <f t="shared" ca="1" si="8"/>
        <v>#N/A</v>
      </c>
      <c r="K58" s="45">
        <f t="shared" ca="1" si="16"/>
        <v>1.0583542422990853</v>
      </c>
      <c r="L58" s="11">
        <f t="shared" ca="1" si="9"/>
        <v>1.4370600000000002</v>
      </c>
      <c r="U58" s="3">
        <f t="shared" ca="1" si="10"/>
        <v>11</v>
      </c>
      <c r="V58" s="3">
        <f t="shared" ca="1" si="11"/>
        <v>0.99050000000000005</v>
      </c>
      <c r="W58" s="3"/>
      <c r="AA58" s="21">
        <v>-8</v>
      </c>
      <c r="AB58" s="11">
        <f t="shared" ca="1" si="2"/>
        <v>-0.69388254047973918</v>
      </c>
      <c r="AC58" s="11" t="e">
        <f t="shared" ca="1" si="3"/>
        <v>#N/A</v>
      </c>
      <c r="AD58" s="11">
        <f t="shared" ca="1" si="4"/>
        <v>0</v>
      </c>
      <c r="AE58" s="11">
        <f t="shared" ca="1" si="17"/>
        <v>0</v>
      </c>
      <c r="AF58" s="11">
        <f t="shared" ca="1" si="5"/>
        <v>-0.69388254047973918</v>
      </c>
      <c r="AG58" s="11">
        <f t="shared" ca="1" si="6"/>
        <v>1.0267695332565061E-2</v>
      </c>
      <c r="AH58" s="11">
        <f t="shared" ca="1" si="12"/>
        <v>1.0267695332565061E-2</v>
      </c>
      <c r="AI58" s="11" t="e">
        <f t="shared" ca="1" si="13"/>
        <v>#N/A</v>
      </c>
      <c r="AJ58" s="11">
        <f t="shared" ca="1" si="14"/>
        <v>1.0267695332565061E-2</v>
      </c>
      <c r="AK58" s="11">
        <f t="shared" ca="1" si="15"/>
        <v>1.0267695332565061E-2</v>
      </c>
    </row>
    <row r="59" spans="5:37" x14ac:dyDescent="0.2">
      <c r="E59" s="1">
        <v>23</v>
      </c>
      <c r="F59">
        <f>IF(ISNUMBER(data!F59),data!F59,NA())</f>
        <v>12</v>
      </c>
      <c r="G59">
        <f>IF(ISNUMBER(data!G59),data!G59,NA())</f>
        <v>1.0083</v>
      </c>
      <c r="H59">
        <f>IF(ISNUMBER(data!H59),data!H59,NA())</f>
        <v>2.9690000000000001E-2</v>
      </c>
      <c r="I59" s="11" t="e">
        <f t="shared" si="7"/>
        <v>#N/A</v>
      </c>
      <c r="J59" s="11" t="e">
        <f t="shared" ca="1" si="8"/>
        <v>#N/A</v>
      </c>
      <c r="K59" s="45">
        <f t="shared" ca="1" si="16"/>
        <v>1.0796319253084794</v>
      </c>
      <c r="L59" s="11">
        <f t="shared" ca="1" si="9"/>
        <v>1.552181666666667</v>
      </c>
      <c r="U59" s="3">
        <f t="shared" ca="1" si="10"/>
        <v>12</v>
      </c>
      <c r="V59" s="3">
        <f t="shared" ca="1" si="11"/>
        <v>1.0083</v>
      </c>
      <c r="W59" s="3"/>
      <c r="AA59" s="21">
        <v>-7</v>
      </c>
      <c r="AB59" s="11">
        <f t="shared" ca="1" si="2"/>
        <v>-0.60085954884677772</v>
      </c>
      <c r="AC59" s="11" t="e">
        <f t="shared" ca="1" si="3"/>
        <v>#N/A</v>
      </c>
      <c r="AD59" s="11">
        <f t="shared" ca="1" si="4"/>
        <v>0</v>
      </c>
      <c r="AE59" s="11">
        <f t="shared" ca="1" si="17"/>
        <v>0</v>
      </c>
      <c r="AF59" s="11">
        <f t="shared" ca="1" si="5"/>
        <v>-0.60085954884677772</v>
      </c>
      <c r="AG59" s="11">
        <f t="shared" ca="1" si="6"/>
        <v>9.0931327647544129E-3</v>
      </c>
      <c r="AH59" s="11">
        <f t="shared" ca="1" si="12"/>
        <v>9.0931327647544129E-3</v>
      </c>
      <c r="AI59" s="11" t="e">
        <f t="shared" ca="1" si="13"/>
        <v>#N/A</v>
      </c>
      <c r="AJ59" s="11">
        <f t="shared" ca="1" si="14"/>
        <v>9.0931327647544129E-3</v>
      </c>
      <c r="AK59" s="11">
        <f t="shared" ca="1" si="15"/>
        <v>9.0931327647544129E-3</v>
      </c>
    </row>
    <row r="60" spans="5:37" x14ac:dyDescent="0.2">
      <c r="E60" s="1">
        <v>24</v>
      </c>
      <c r="F60">
        <f>IF(ISNUMBER(data!F60),data!F60,NA())</f>
        <v>13</v>
      </c>
      <c r="G60">
        <f>IF(ISNUMBER(data!G60),data!G60,NA())</f>
        <v>1.0244</v>
      </c>
      <c r="H60">
        <f>IF(ISNUMBER(data!H60),data!H60,NA())</f>
        <v>3.5770000000000003E-2</v>
      </c>
      <c r="I60" s="11" t="e">
        <f t="shared" si="7"/>
        <v>#N/A</v>
      </c>
      <c r="J60" s="11" t="e">
        <f t="shared" ca="1" si="8"/>
        <v>#N/A</v>
      </c>
      <c r="K60" s="45">
        <f t="shared" ca="1" si="16"/>
        <v>1.0889773117936195</v>
      </c>
      <c r="L60" s="11">
        <f t="shared" ca="1" si="9"/>
        <v>1.6673033333333336</v>
      </c>
      <c r="U60" s="3">
        <f t="shared" ca="1" si="10"/>
        <v>13</v>
      </c>
      <c r="V60" s="3">
        <f t="shared" ca="1" si="11"/>
        <v>1.0244</v>
      </c>
      <c r="W60" s="3"/>
      <c r="AA60" s="21">
        <v>-6</v>
      </c>
      <c r="AB60" s="11">
        <f t="shared" ca="1" si="2"/>
        <v>-0.50144369239516851</v>
      </c>
      <c r="AC60" s="11" t="e">
        <f t="shared" ca="1" si="3"/>
        <v>#N/A</v>
      </c>
      <c r="AD60" s="11">
        <f t="shared" ca="1" si="4"/>
        <v>0</v>
      </c>
      <c r="AE60" s="11">
        <f t="shared" ca="1" si="17"/>
        <v>0</v>
      </c>
      <c r="AF60" s="11">
        <f t="shared" ca="1" si="5"/>
        <v>-0.50144369239516851</v>
      </c>
      <c r="AG60" s="11">
        <f t="shared" ca="1" si="6"/>
        <v>8.3585147339335364E-3</v>
      </c>
      <c r="AH60" s="11">
        <f t="shared" ca="1" si="12"/>
        <v>8.3585147339335364E-3</v>
      </c>
      <c r="AI60" s="11" t="e">
        <f t="shared" ca="1" si="13"/>
        <v>#N/A</v>
      </c>
      <c r="AJ60" s="11">
        <f t="shared" ca="1" si="14"/>
        <v>8.3585147339335364E-3</v>
      </c>
      <c r="AK60" s="11">
        <f t="shared" ca="1" si="15"/>
        <v>8.3585147339335364E-3</v>
      </c>
    </row>
    <row r="61" spans="5:37" x14ac:dyDescent="0.2">
      <c r="E61" s="1">
        <v>25</v>
      </c>
      <c r="F61">
        <f>IF(ISNUMBER(data!F61),data!F61,NA())</f>
        <v>14</v>
      </c>
      <c r="G61">
        <f>IF(ISNUMBER(data!G61),data!G61,NA())</f>
        <v>1.0398000000000001</v>
      </c>
      <c r="H61">
        <f>IF(ISNUMBER(data!H61),data!H61,NA())</f>
        <v>4.2959999999999998E-2</v>
      </c>
      <c r="I61" s="11" t="e">
        <f t="shared" si="7"/>
        <v>#N/A</v>
      </c>
      <c r="J61" s="11" t="e">
        <f t="shared" ca="1" si="8"/>
        <v>#N/A</v>
      </c>
      <c r="K61" s="45">
        <f t="shared" ca="1" si="16"/>
        <v>1.0858975010758152</v>
      </c>
      <c r="L61" s="11" t="e">
        <f t="shared" ca="1" si="9"/>
        <v>#N/A</v>
      </c>
      <c r="U61" s="3">
        <f t="shared" ca="1" si="10"/>
        <v>14</v>
      </c>
      <c r="V61" s="3">
        <f t="shared" ca="1" si="11"/>
        <v>1.0398000000000001</v>
      </c>
      <c r="W61" s="3"/>
      <c r="AA61" s="21">
        <v>-5</v>
      </c>
      <c r="AB61" s="11">
        <f t="shared" ca="1" si="2"/>
        <v>-0.39667345314522073</v>
      </c>
      <c r="AC61" s="11" t="e">
        <f t="shared" ca="1" si="3"/>
        <v>#N/A</v>
      </c>
      <c r="AD61" s="11">
        <f t="shared" ca="1" si="4"/>
        <v>0</v>
      </c>
      <c r="AE61" s="11">
        <f t="shared" ca="1" si="17"/>
        <v>0</v>
      </c>
      <c r="AF61" s="11">
        <f t="shared" ca="1" si="5"/>
        <v>-0.39667345314522073</v>
      </c>
      <c r="AG61" s="11">
        <f t="shared" ca="1" si="6"/>
        <v>7.9440634821503122E-3</v>
      </c>
      <c r="AH61" s="11">
        <f t="shared" ca="1" si="12"/>
        <v>7.9440634821503122E-3</v>
      </c>
      <c r="AI61" s="11" t="e">
        <f t="shared" ca="1" si="13"/>
        <v>#N/A</v>
      </c>
      <c r="AJ61" s="11">
        <f t="shared" ca="1" si="14"/>
        <v>7.9440634821503122E-3</v>
      </c>
      <c r="AK61" s="11">
        <f t="shared" ca="1" si="15"/>
        <v>7.9440634821503122E-3</v>
      </c>
    </row>
    <row r="62" spans="5:37" x14ac:dyDescent="0.2">
      <c r="E62" s="1">
        <v>26</v>
      </c>
      <c r="F62">
        <f>IF(ISNUMBER(data!F62),data!F62,NA())</f>
        <v>15</v>
      </c>
      <c r="G62">
        <f>IF(ISNUMBER(data!G62),data!G62,NA())</f>
        <v>1.0492999999999999</v>
      </c>
      <c r="H62">
        <f>IF(ISNUMBER(data!H62),data!H62,NA())</f>
        <v>5.1610000000000003E-2</v>
      </c>
      <c r="I62" s="11" t="e">
        <f t="shared" si="7"/>
        <v>#N/A</v>
      </c>
      <c r="J62" s="11" t="e">
        <f t="shared" ca="1" si="8"/>
        <v>#N/A</v>
      </c>
      <c r="K62" s="45">
        <f t="shared" ca="1" si="16"/>
        <v>1.0698995924763759</v>
      </c>
      <c r="L62" s="11" t="e">
        <f t="shared" ca="1" si="9"/>
        <v>#N/A</v>
      </c>
      <c r="U62" s="3">
        <f t="shared" ca="1" si="10"/>
        <v>15</v>
      </c>
      <c r="V62" s="3">
        <f t="shared" ca="1" si="11"/>
        <v>1.0492999999999999</v>
      </c>
      <c r="W62" s="3"/>
      <c r="AA62" s="21">
        <v>-4</v>
      </c>
      <c r="AB62" s="11">
        <f t="shared" ca="1" si="2"/>
        <v>-0.28761374065938949</v>
      </c>
      <c r="AC62" s="11" t="e">
        <f t="shared" ca="1" si="3"/>
        <v>#N/A</v>
      </c>
      <c r="AD62" s="11">
        <f t="shared" ca="1" si="4"/>
        <v>0</v>
      </c>
      <c r="AE62" s="11">
        <f t="shared" ca="1" si="17"/>
        <v>0</v>
      </c>
      <c r="AF62" s="11">
        <f t="shared" ca="1" si="5"/>
        <v>-0.28761374065938949</v>
      </c>
      <c r="AG62" s="11">
        <f t="shared" ca="1" si="6"/>
        <v>7.7449847909909697E-3</v>
      </c>
      <c r="AH62" s="11">
        <f t="shared" ca="1" si="12"/>
        <v>7.7449847909909697E-3</v>
      </c>
      <c r="AI62" s="11" t="e">
        <f t="shared" ca="1" si="13"/>
        <v>#N/A</v>
      </c>
      <c r="AJ62" s="11">
        <f t="shared" ca="1" si="14"/>
        <v>7.7449847909909697E-3</v>
      </c>
      <c r="AK62" s="11">
        <f t="shared" ca="1" si="15"/>
        <v>7.7449847909909697E-3</v>
      </c>
    </row>
    <row r="63" spans="5:37" x14ac:dyDescent="0.2">
      <c r="E63" s="1">
        <v>27</v>
      </c>
      <c r="F63">
        <f>IF(ISNUMBER(data!F63),data!F63,NA())</f>
        <v>16</v>
      </c>
      <c r="G63">
        <f>IF(ISNUMBER(data!G63),data!G63,NA())</f>
        <v>1.0463</v>
      </c>
      <c r="H63">
        <f>IF(ISNUMBER(data!H63),data!H63,NA())</f>
        <v>6.2969999999999998E-2</v>
      </c>
      <c r="I63" s="11" t="e">
        <f t="shared" si="7"/>
        <v>#N/A</v>
      </c>
      <c r="J63" s="11" t="e">
        <f t="shared" ca="1" si="8"/>
        <v>#N/A</v>
      </c>
      <c r="K63" s="45">
        <f t="shared" ca="1" si="16"/>
        <v>1.0404906853166118</v>
      </c>
      <c r="L63" s="11" t="e">
        <f t="shared" ca="1" si="9"/>
        <v>#N/A</v>
      </c>
      <c r="M63" s="5"/>
      <c r="U63" s="3">
        <f t="shared" ca="1" si="10"/>
        <v>16</v>
      </c>
      <c r="V63" s="3">
        <f t="shared" ca="1" si="11"/>
        <v>1.0463</v>
      </c>
      <c r="W63" s="3"/>
      <c r="AA63" s="21">
        <v>-3</v>
      </c>
      <c r="AB63" s="11">
        <f t="shared" ca="1" si="2"/>
        <v>-0.17536481742902313</v>
      </c>
      <c r="AC63" s="11" t="e">
        <f t="shared" ca="1" si="3"/>
        <v>#N/A</v>
      </c>
      <c r="AD63" s="11">
        <f t="shared" ca="1" si="4"/>
        <v>0</v>
      </c>
      <c r="AE63" s="11">
        <f t="shared" ca="1" si="17"/>
        <v>0</v>
      </c>
      <c r="AF63" s="11">
        <f t="shared" ca="1" si="5"/>
        <v>-0.17536481742902313</v>
      </c>
      <c r="AG63" s="11">
        <f t="shared" ca="1" si="6"/>
        <v>7.6730923433398421E-3</v>
      </c>
      <c r="AH63" s="11">
        <f t="shared" ca="1" si="12"/>
        <v>7.6730923433398421E-3</v>
      </c>
      <c r="AI63" s="11" t="e">
        <f t="shared" ca="1" si="13"/>
        <v>#N/A</v>
      </c>
      <c r="AJ63" s="11">
        <f t="shared" ca="1" si="14"/>
        <v>7.6730923433398421E-3</v>
      </c>
      <c r="AK63" s="11">
        <f t="shared" ca="1" si="15"/>
        <v>7.6730923433398421E-3</v>
      </c>
    </row>
    <row r="64" spans="5:37" x14ac:dyDescent="0.2">
      <c r="E64" s="1">
        <v>28</v>
      </c>
      <c r="F64">
        <f>IF(ISNUMBER(data!F64),data!F64,NA())</f>
        <v>17</v>
      </c>
      <c r="G64">
        <f>IF(ISNUMBER(data!G64),data!G64,NA())</f>
        <v>1.0257000000000001</v>
      </c>
      <c r="H64">
        <f>IF(ISNUMBER(data!H64),data!H64,NA())</f>
        <v>7.8399999999999997E-2</v>
      </c>
      <c r="I64" s="11" t="e">
        <f t="shared" si="7"/>
        <v>#N/A</v>
      </c>
      <c r="J64" s="11" t="e">
        <f t="shared" ca="1" si="8"/>
        <v>#N/A</v>
      </c>
      <c r="K64" s="45">
        <f t="shared" ca="1" si="16"/>
        <v>0.99717787891783261</v>
      </c>
      <c r="L64" s="11" t="e">
        <f t="shared" ca="1" si="9"/>
        <v>#N/A</v>
      </c>
      <c r="M64" s="5"/>
      <c r="U64" s="3">
        <f t="shared" ca="1" si="10"/>
        <v>17</v>
      </c>
      <c r="V64" s="3">
        <f t="shared" ca="1" si="11"/>
        <v>1.0257000000000001</v>
      </c>
      <c r="W64" s="3"/>
      <c r="AA64" s="21">
        <v>-2</v>
      </c>
      <c r="AB64" s="11">
        <f t="shared" ca="1" si="2"/>
        <v>-6.1080066025808351E-2</v>
      </c>
      <c r="AC64" s="11" t="e">
        <f ca="1">IF(AND($Q$28&lt;=AA64,AA64&lt;$Q$26),0,IF(AND($Q$26&lt;=AA64,AA64&lt;=92),-0.032*(AA64-92)-$S$26*POWER((92-AA64)/51,$S$28),IF(AA64&gt;92,-0.032*(AA64-92)+$S$26*POWER((AA64-92)/51,$S$28),NA())))</f>
        <v>#N/A</v>
      </c>
      <c r="AD64" s="11">
        <f t="shared" ca="1" si="4"/>
        <v>0</v>
      </c>
      <c r="AE64" s="11">
        <f t="shared" ca="1" si="17"/>
        <v>0</v>
      </c>
      <c r="AF64" s="11">
        <f t="shared" ca="1" si="5"/>
        <v>-6.1080066025808351E-2</v>
      </c>
      <c r="AG64" s="11">
        <f t="shared" ca="1" si="6"/>
        <v>7.6593315310145068E-3</v>
      </c>
      <c r="AH64" s="11">
        <f t="shared" ca="1" si="12"/>
        <v>7.6593315310145068E-3</v>
      </c>
      <c r="AI64" s="11" t="e">
        <f t="shared" ca="1" si="13"/>
        <v>#N/A</v>
      </c>
      <c r="AJ64" s="11">
        <f t="shared" ca="1" si="14"/>
        <v>7.6593315310145068E-3</v>
      </c>
      <c r="AK64" s="11">
        <f t="shared" ca="1" si="15"/>
        <v>7.6593315310145068E-3</v>
      </c>
    </row>
    <row r="65" spans="5:37" x14ac:dyDescent="0.2">
      <c r="E65" s="1">
        <v>29</v>
      </c>
      <c r="F65">
        <f>IF(ISNUMBER(data!F65),data!F65,NA())</f>
        <v>18</v>
      </c>
      <c r="G65">
        <f>IF(ISNUMBER(data!G65),data!G65,NA())</f>
        <v>0.97970000000000002</v>
      </c>
      <c r="H65">
        <f>IF(ISNUMBER(data!H65),data!H65,NA())</f>
        <v>0.10076</v>
      </c>
      <c r="I65" s="11" t="e">
        <f t="shared" si="7"/>
        <v>#N/A</v>
      </c>
      <c r="J65" s="11" t="e">
        <f t="shared" ca="1" si="8"/>
        <v>#N/A</v>
      </c>
      <c r="K65" s="45">
        <f t="shared" ca="1" si="16"/>
        <v>0.93946827260134713</v>
      </c>
      <c r="L65" s="11" t="e">
        <f t="shared" ca="1" si="9"/>
        <v>#N/A</v>
      </c>
      <c r="M65" s="5"/>
      <c r="U65" s="3">
        <f t="shared" ca="1" si="10"/>
        <v>18</v>
      </c>
      <c r="V65" s="3">
        <f t="shared" ca="1" si="11"/>
        <v>0.97970000000000002</v>
      </c>
      <c r="W65" s="3"/>
      <c r="AA65" s="21">
        <v>-1</v>
      </c>
      <c r="AB65" s="11">
        <f t="shared" ca="1" si="2"/>
        <v>5.3971538869055161E-2</v>
      </c>
      <c r="AC65" s="11">
        <f t="shared" ca="1" si="3"/>
        <v>0</v>
      </c>
      <c r="AD65" s="11" t="e">
        <f t="shared" ca="1" si="4"/>
        <v>#N/A</v>
      </c>
      <c r="AE65" s="11">
        <f t="shared" ca="1" si="17"/>
        <v>0</v>
      </c>
      <c r="AF65" s="11">
        <f t="shared" ca="1" si="5"/>
        <v>5.3971538869055161E-2</v>
      </c>
      <c r="AG65" s="11">
        <f t="shared" ca="1" si="6"/>
        <v>7.6592196735733795E-3</v>
      </c>
      <c r="AH65" s="11">
        <f t="shared" ca="1" si="12"/>
        <v>7.6592196735733795E-3</v>
      </c>
      <c r="AI65" s="11" t="e">
        <f t="shared" ca="1" si="13"/>
        <v>#N/A</v>
      </c>
      <c r="AJ65" s="11">
        <f t="shared" ca="1" si="14"/>
        <v>7.6592196735733795E-3</v>
      </c>
      <c r="AK65" s="11">
        <f t="shared" ca="1" si="15"/>
        <v>7.6592196735733795E-3</v>
      </c>
    </row>
    <row r="66" spans="5:37" x14ac:dyDescent="0.2">
      <c r="E66" s="1">
        <v>30</v>
      </c>
      <c r="F66">
        <f>IF(ISNUMBER(data!F66),data!F66,NA())</f>
        <v>20</v>
      </c>
      <c r="G66">
        <f>IF(ISNUMBER(data!G66),data!G66,NA())</f>
        <v>0.74750000000000005</v>
      </c>
      <c r="H66">
        <f>IF(ISNUMBER(data!H66),data!H66,NA())</f>
        <v>0.19691</v>
      </c>
      <c r="I66" s="11" t="e">
        <f t="shared" si="7"/>
        <v>#N/A</v>
      </c>
      <c r="J66" s="11" t="e">
        <f t="shared" ca="1" si="8"/>
        <v>#N/A</v>
      </c>
      <c r="K66" s="45">
        <f t="shared" ca="1" si="16"/>
        <v>0.77888705750049791</v>
      </c>
      <c r="L66" s="11" t="e">
        <f t="shared" ca="1" si="9"/>
        <v>#N/A</v>
      </c>
      <c r="M66" s="5"/>
      <c r="U66" s="3">
        <f t="shared" ca="1" si="10"/>
        <v>20</v>
      </c>
      <c r="V66" s="3">
        <f t="shared" ca="1" si="11"/>
        <v>0.74750000000000005</v>
      </c>
      <c r="W66" s="3"/>
      <c r="AA66" s="21">
        <v>0</v>
      </c>
      <c r="AB66" s="11">
        <f t="shared" ca="1" si="2"/>
        <v>0.16834250284379937</v>
      </c>
      <c r="AC66" s="11">
        <f t="shared" ca="1" si="3"/>
        <v>0</v>
      </c>
      <c r="AD66" s="11" t="e">
        <f t="shared" ca="1" si="4"/>
        <v>#N/A</v>
      </c>
      <c r="AE66" s="11">
        <f t="shared" ca="1" si="17"/>
        <v>0</v>
      </c>
      <c r="AF66" s="11">
        <f t="shared" ca="1" si="5"/>
        <v>0.16834250284379937</v>
      </c>
      <c r="AG66" s="11">
        <f t="shared" ca="1" si="6"/>
        <v>7.6711507529069137E-3</v>
      </c>
      <c r="AH66" s="11">
        <f t="shared" ca="1" si="12"/>
        <v>7.6711507529069137E-3</v>
      </c>
      <c r="AI66" s="11" t="e">
        <f t="shared" ca="1" si="13"/>
        <v>#N/A</v>
      </c>
      <c r="AJ66" s="11">
        <f t="shared" ca="1" si="14"/>
        <v>7.6711507529069137E-3</v>
      </c>
      <c r="AK66" s="11">
        <f t="shared" ca="1" si="15"/>
        <v>7.6711507529069137E-3</v>
      </c>
    </row>
    <row r="67" spans="5:37" x14ac:dyDescent="0.2">
      <c r="E67" s="1">
        <v>31</v>
      </c>
      <c r="F67" t="e">
        <f>IF(ISNUMBER(data!F67),data!F67,NA())</f>
        <v>#N/A</v>
      </c>
      <c r="G67" t="e">
        <f>IF(ISNUMBER(data!G67),data!G67,NA())</f>
        <v>#N/A</v>
      </c>
      <c r="H67" t="e">
        <f>IF(ISNUMBER(data!H67),data!H67,NA())</f>
        <v>#N/A</v>
      </c>
      <c r="I67" s="11" t="e">
        <f t="shared" si="7"/>
        <v>#N/A</v>
      </c>
      <c r="J67" s="11" t="e">
        <f t="shared" ca="1" si="8"/>
        <v>#N/A</v>
      </c>
      <c r="K67" s="45" t="e">
        <f t="shared" si="16"/>
        <v>#N/A</v>
      </c>
      <c r="L67" s="11" t="e">
        <f t="shared" ca="1" si="9"/>
        <v>#N/A</v>
      </c>
      <c r="M67" s="5"/>
      <c r="U67" s="3">
        <f t="shared" ca="1" si="10"/>
        <v>12</v>
      </c>
      <c r="V67" s="3">
        <f t="shared" ca="1" si="11"/>
        <v>1.361205</v>
      </c>
      <c r="W67" s="3"/>
      <c r="AA67" s="21">
        <v>1</v>
      </c>
      <c r="AB67" s="11">
        <f t="shared" ca="1" si="2"/>
        <v>0.28075151377903645</v>
      </c>
      <c r="AC67" s="11">
        <f t="shared" ca="1" si="3"/>
        <v>0</v>
      </c>
      <c r="AD67" s="11" t="e">
        <f t="shared" ca="1" si="4"/>
        <v>#N/A</v>
      </c>
      <c r="AE67" s="11">
        <f t="shared" ca="1" si="17"/>
        <v>0</v>
      </c>
      <c r="AF67" s="11">
        <f t="shared" ca="1" si="5"/>
        <v>0.28075151377903645</v>
      </c>
      <c r="AG67" s="11">
        <f t="shared" ca="1" si="6"/>
        <v>7.7376585286974033E-3</v>
      </c>
      <c r="AH67" s="11">
        <f t="shared" ca="1" si="12"/>
        <v>7.7376585286974033E-3</v>
      </c>
      <c r="AI67" s="11" t="e">
        <f t="shared" ca="1" si="13"/>
        <v>#N/A</v>
      </c>
      <c r="AJ67" s="11">
        <f t="shared" ca="1" si="14"/>
        <v>7.7376585286974033E-3</v>
      </c>
      <c r="AK67" s="11">
        <f t="shared" ca="1" si="15"/>
        <v>7.7376585286974033E-3</v>
      </c>
    </row>
    <row r="68" spans="5:37" x14ac:dyDescent="0.2">
      <c r="E68" s="1">
        <v>32</v>
      </c>
      <c r="F68" t="e">
        <f>IF(ISNUMBER(data!F68),data!F68,NA())</f>
        <v>#N/A</v>
      </c>
      <c r="G68" t="e">
        <f>IF(ISNUMBER(data!G68),data!G68,NA())</f>
        <v>#N/A</v>
      </c>
      <c r="H68" t="e">
        <f>IF(ISNUMBER(data!H68),data!H68,NA())</f>
        <v>#N/A</v>
      </c>
      <c r="I68" s="11" t="e">
        <f t="shared" si="7"/>
        <v>#N/A</v>
      </c>
      <c r="J68" s="11" t="e">
        <f t="shared" ca="1" si="8"/>
        <v>#N/A</v>
      </c>
      <c r="K68" s="45" t="e">
        <f t="shared" si="16"/>
        <v>#N/A</v>
      </c>
      <c r="L68" s="11" t="e">
        <f t="shared" ca="1" si="9"/>
        <v>#N/A</v>
      </c>
      <c r="M68" s="5"/>
      <c r="U68" s="3" t="e">
        <f t="shared" ca="1" si="10"/>
        <v>#N/A</v>
      </c>
      <c r="V68" s="3" t="e">
        <f t="shared" ca="1" si="11"/>
        <v>#N/A</v>
      </c>
      <c r="W68" s="3"/>
      <c r="AA68" s="21">
        <v>2</v>
      </c>
      <c r="AB68" s="11">
        <f t="shared" ca="1" si="2"/>
        <v>0.39004084983101123</v>
      </c>
      <c r="AC68" s="11">
        <f t="shared" ca="1" si="3"/>
        <v>0</v>
      </c>
      <c r="AD68" s="11" t="e">
        <f t="shared" ca="1" si="4"/>
        <v>#N/A</v>
      </c>
      <c r="AE68" s="11">
        <f t="shared" ca="1" si="17"/>
        <v>0</v>
      </c>
      <c r="AF68" s="11">
        <f t="shared" ca="1" si="5"/>
        <v>0.39004084983101123</v>
      </c>
      <c r="AG68" s="11">
        <f t="shared" ref="AG68:AG99" ca="1" si="18">IF(AND(2*$Q$28-$Q$31&lt;=AA68,AA68&lt;=$Q$31),$Q$33+($Q$30-$Q$33)*POWER(ABS((AA68-$Q$28)/($Q$31-$Q$28)),$Q$34),0)</f>
        <v>7.9264926315426622E-3</v>
      </c>
      <c r="AH68" s="11">
        <f t="shared" ca="1" si="12"/>
        <v>7.9264926315426622E-3</v>
      </c>
      <c r="AI68" s="11" t="e">
        <f t="shared" ca="1" si="13"/>
        <v>#N/A</v>
      </c>
      <c r="AJ68" s="11">
        <f t="shared" ca="1" si="14"/>
        <v>7.9264926315426622E-3</v>
      </c>
      <c r="AK68" s="11">
        <f t="shared" ca="1" si="15"/>
        <v>7.9264926315426622E-3</v>
      </c>
    </row>
    <row r="69" spans="5:37" x14ac:dyDescent="0.2">
      <c r="E69" s="1">
        <v>33</v>
      </c>
      <c r="F69" t="e">
        <f>IF(ISNUMBER(data!F69),data!F69,NA())</f>
        <v>#N/A</v>
      </c>
      <c r="G69" t="e">
        <f>IF(ISNUMBER(data!G69),data!G69,NA())</f>
        <v>#N/A</v>
      </c>
      <c r="H69" t="e">
        <f>IF(ISNUMBER(data!H69),data!H69,NA())</f>
        <v>#N/A</v>
      </c>
      <c r="I69" s="11" t="e">
        <f t="shared" si="7"/>
        <v>#N/A</v>
      </c>
      <c r="J69" s="11" t="e">
        <f t="shared" ref="J69:J100" ca="1" si="19">IF(AND(ISNUMBER(INDIRECT($G$1&amp;$E$36+E69+($M$13-1)/2)),ISNUMBER(INDIRECT($G$1&amp;$E$36+E69-($M$13-1)/2)),E69&gt;=$J$24,E69&lt;=$K$24,$L$13=2), AVERAGE(INDIRECT($G$1&amp;$E$36+E69-($M$13-1)/2 &amp;":"&amp;$G$1&amp;$E$36+E69+($M$13-1)/2)),NA())</f>
        <v>#N/A</v>
      </c>
      <c r="K69" s="45" t="e">
        <f t="shared" si="16"/>
        <v>#N/A</v>
      </c>
      <c r="L69" s="11" t="e">
        <f t="shared" ca="1" si="9"/>
        <v>#N/A</v>
      </c>
      <c r="M69" s="5"/>
      <c r="U69" s="3" t="e">
        <f t="shared" ref="U69:U100" ca="1" si="20">IF( AND(E69&gt;=$J$24,E69&lt;=$K$24,$L$13=3),F69,IF(E69=$K$24+$U$29,INDIRECT($F$1&amp;$U$22),NA()))</f>
        <v>#N/A</v>
      </c>
      <c r="V69" s="3" t="e">
        <f t="shared" ref="V69:V100" ca="1" si="21">IF( AND(E69&gt;=$J$24,E69&lt;=$K$24,$L$13=3),G69,IF(E69=$K$24+$U$29,$V$29*INDIRECT($G$1&amp;$U$22),NA()))</f>
        <v>#N/A</v>
      </c>
      <c r="W69" s="3"/>
      <c r="AA69" s="21">
        <v>3</v>
      </c>
      <c r="AB69" s="11">
        <f t="shared" ca="1" si="2"/>
        <v>0.49510762394530006</v>
      </c>
      <c r="AC69" s="11">
        <f t="shared" ca="1" si="3"/>
        <v>0</v>
      </c>
      <c r="AD69" s="11" t="e">
        <f t="shared" ca="1" si="4"/>
        <v>#N/A</v>
      </c>
      <c r="AE69" s="11">
        <f t="shared" ca="1" si="17"/>
        <v>0</v>
      </c>
      <c r="AF69" s="11">
        <f t="shared" ca="1" si="5"/>
        <v>0.49510762394530006</v>
      </c>
      <c r="AG69" s="11">
        <f t="shared" ca="1" si="18"/>
        <v>8.3247425521308701E-3</v>
      </c>
      <c r="AH69" s="11">
        <f t="shared" ca="1" si="12"/>
        <v>8.3247425521308701E-3</v>
      </c>
      <c r="AI69" s="11" t="e">
        <f t="shared" ca="1" si="13"/>
        <v>#N/A</v>
      </c>
      <c r="AJ69" s="11">
        <f t="shared" ca="1" si="14"/>
        <v>8.3247425521308701E-3</v>
      </c>
      <c r="AK69" s="11">
        <f t="shared" ca="1" si="15"/>
        <v>8.3247425521308701E-3</v>
      </c>
    </row>
    <row r="70" spans="5:37" x14ac:dyDescent="0.2">
      <c r="E70" s="1">
        <v>34</v>
      </c>
      <c r="F70" t="e">
        <f>IF(ISNUMBER(data!F70),data!F70,NA())</f>
        <v>#N/A</v>
      </c>
      <c r="G70" t="e">
        <f>IF(ISNUMBER(data!G70),data!G70,NA())</f>
        <v>#N/A</v>
      </c>
      <c r="H70" t="e">
        <f>IF(ISNUMBER(data!H70),data!H70,NA())</f>
        <v>#N/A</v>
      </c>
      <c r="I70" s="11" t="e">
        <f t="shared" si="7"/>
        <v>#N/A</v>
      </c>
      <c r="J70" s="11" t="e">
        <f t="shared" ca="1" si="19"/>
        <v>#N/A</v>
      </c>
      <c r="K70" s="45" t="e">
        <f t="shared" si="16"/>
        <v>#N/A</v>
      </c>
      <c r="L70" s="11" t="e">
        <f t="shared" ca="1" si="9"/>
        <v>#N/A</v>
      </c>
      <c r="M70" s="5"/>
      <c r="U70" s="3" t="e">
        <f t="shared" ca="1" si="20"/>
        <v>#N/A</v>
      </c>
      <c r="V70" s="3" t="e">
        <f t="shared" ca="1" si="21"/>
        <v>#N/A</v>
      </c>
      <c r="W70" s="3"/>
      <c r="AA70" s="21">
        <v>4</v>
      </c>
      <c r="AB70" s="11">
        <f t="shared" ca="1" si="2"/>
        <v>0.59488505038798334</v>
      </c>
      <c r="AC70" s="11">
        <f t="shared" ca="1" si="3"/>
        <v>0</v>
      </c>
      <c r="AD70" s="11" t="e">
        <f t="shared" ca="1" si="4"/>
        <v>#N/A</v>
      </c>
      <c r="AE70" s="11">
        <f t="shared" ca="1" si="17"/>
        <v>0</v>
      </c>
      <c r="AF70" s="11">
        <f t="shared" ca="1" si="5"/>
        <v>0.59488505038798334</v>
      </c>
      <c r="AG70" s="11">
        <f t="shared" ca="1" si="18"/>
        <v>9.0362284924942835E-3</v>
      </c>
      <c r="AH70" s="11">
        <f t="shared" ca="1" si="12"/>
        <v>9.0362284924942835E-3</v>
      </c>
      <c r="AI70" s="11" t="e">
        <f t="shared" ca="1" si="13"/>
        <v>#N/A</v>
      </c>
      <c r="AJ70" s="11">
        <f t="shared" ca="1" si="14"/>
        <v>9.0362284924942835E-3</v>
      </c>
      <c r="AK70" s="11">
        <f t="shared" ca="1" si="15"/>
        <v>9.0362284924942835E-3</v>
      </c>
    </row>
    <row r="71" spans="5:37" x14ac:dyDescent="0.2">
      <c r="E71" s="1">
        <v>35</v>
      </c>
      <c r="F71" t="e">
        <f>IF(ISNUMBER(data!F71),data!F71,NA())</f>
        <v>#N/A</v>
      </c>
      <c r="G71" t="e">
        <f>IF(ISNUMBER(data!G71),data!G71,NA())</f>
        <v>#N/A</v>
      </c>
      <c r="H71" t="e">
        <f>IF(ISNUMBER(data!H71),data!H71,NA())</f>
        <v>#N/A</v>
      </c>
      <c r="I71" s="11" t="e">
        <f t="shared" si="7"/>
        <v>#N/A</v>
      </c>
      <c r="J71" s="11" t="e">
        <f t="shared" ca="1" si="19"/>
        <v>#N/A</v>
      </c>
      <c r="K71" s="45" t="e">
        <f t="shared" si="16"/>
        <v>#N/A</v>
      </c>
      <c r="L71" s="11" t="e">
        <f t="shared" ca="1" si="9"/>
        <v>#N/A</v>
      </c>
      <c r="M71" s="5"/>
      <c r="U71" s="3" t="e">
        <f t="shared" ca="1" si="20"/>
        <v>#N/A</v>
      </c>
      <c r="V71" s="3" t="e">
        <f t="shared" ca="1" si="21"/>
        <v>#N/A</v>
      </c>
      <c r="W71" s="3"/>
      <c r="AA71" s="21">
        <v>5</v>
      </c>
      <c r="AB71" s="11">
        <f t="shared" ca="1" si="2"/>
        <v>0.68833319341068389</v>
      </c>
      <c r="AC71" s="11">
        <f t="shared" ca="1" si="3"/>
        <v>0</v>
      </c>
      <c r="AD71" s="11" t="e">
        <f t="shared" ca="1" si="4"/>
        <v>#N/A</v>
      </c>
      <c r="AE71" s="11">
        <f t="shared" ca="1" si="17"/>
        <v>0</v>
      </c>
      <c r="AF71" s="11">
        <f t="shared" ca="1" si="5"/>
        <v>0.68833319341068389</v>
      </c>
      <c r="AG71" s="11">
        <f t="shared" ca="1" si="18"/>
        <v>1.0179838831362415E-2</v>
      </c>
      <c r="AH71" s="11">
        <f t="shared" ca="1" si="12"/>
        <v>1.0179838831362415E-2</v>
      </c>
      <c r="AI71" s="11" t="e">
        <f t="shared" ca="1" si="13"/>
        <v>#N/A</v>
      </c>
      <c r="AJ71" s="11">
        <f t="shared" ca="1" si="14"/>
        <v>1.0179838831362415E-2</v>
      </c>
      <c r="AK71" s="11">
        <f t="shared" ca="1" si="15"/>
        <v>1.0179838831362415E-2</v>
      </c>
    </row>
    <row r="72" spans="5:37" x14ac:dyDescent="0.2">
      <c r="E72" s="1">
        <v>36</v>
      </c>
      <c r="F72" t="e">
        <f>IF(ISNUMBER(data!F72),data!F72,NA())</f>
        <v>#N/A</v>
      </c>
      <c r="G72" t="e">
        <f>IF(ISNUMBER(data!G72),data!G72,NA())</f>
        <v>#N/A</v>
      </c>
      <c r="H72" t="e">
        <f>IF(ISNUMBER(data!H72),data!H72,NA())</f>
        <v>#N/A</v>
      </c>
      <c r="I72" s="11" t="e">
        <f t="shared" si="7"/>
        <v>#N/A</v>
      </c>
      <c r="J72" s="11" t="e">
        <f t="shared" ca="1" si="19"/>
        <v>#N/A</v>
      </c>
      <c r="K72" s="45" t="e">
        <f t="shared" si="16"/>
        <v>#N/A</v>
      </c>
      <c r="L72" s="11" t="e">
        <f t="shared" ca="1" si="9"/>
        <v>#N/A</v>
      </c>
      <c r="M72" s="5"/>
      <c r="U72" s="3" t="e">
        <f t="shared" ca="1" si="20"/>
        <v>#N/A</v>
      </c>
      <c r="V72" s="3" t="e">
        <f t="shared" ca="1" si="21"/>
        <v>#N/A</v>
      </c>
      <c r="W72" s="3"/>
      <c r="AA72" s="21">
        <v>6</v>
      </c>
      <c r="AB72" s="11">
        <f t="shared" ca="1" si="2"/>
        <v>0.77443341920317077</v>
      </c>
      <c r="AC72" s="11">
        <f t="shared" ca="1" si="3"/>
        <v>0</v>
      </c>
      <c r="AD72" s="11" t="e">
        <f t="shared" ca="1" si="4"/>
        <v>#N/A</v>
      </c>
      <c r="AE72" s="11">
        <f t="shared" ca="1" si="17"/>
        <v>0</v>
      </c>
      <c r="AF72" s="11">
        <f t="shared" ca="1" si="5"/>
        <v>0.77443341920317077</v>
      </c>
      <c r="AG72" s="11">
        <f t="shared" ca="1" si="18"/>
        <v>1.1888338248141957E-2</v>
      </c>
      <c r="AH72" s="11">
        <f t="shared" ca="1" si="12"/>
        <v>1.1888338248141957E-2</v>
      </c>
      <c r="AI72" s="11" t="e">
        <f t="shared" ca="1" si="13"/>
        <v>#N/A</v>
      </c>
      <c r="AJ72" s="11">
        <f t="shared" ca="1" si="14"/>
        <v>1.1888338248141957E-2</v>
      </c>
      <c r="AK72" s="11">
        <f t="shared" ca="1" si="15"/>
        <v>1.1888338248141957E-2</v>
      </c>
    </row>
    <row r="73" spans="5:37" x14ac:dyDescent="0.2">
      <c r="E73" s="1">
        <v>37</v>
      </c>
      <c r="F73" t="e">
        <f>IF(ISNUMBER(data!F73),data!F73,NA())</f>
        <v>#N/A</v>
      </c>
      <c r="G73" t="e">
        <f>IF(ISNUMBER(data!G73),data!G73,NA())</f>
        <v>#N/A</v>
      </c>
      <c r="H73" t="e">
        <f>IF(ISNUMBER(data!H73),data!H73,NA())</f>
        <v>#N/A</v>
      </c>
      <c r="I73" s="11" t="e">
        <f t="shared" si="7"/>
        <v>#N/A</v>
      </c>
      <c r="J73" s="11" t="e">
        <f t="shared" ca="1" si="19"/>
        <v>#N/A</v>
      </c>
      <c r="K73" s="45" t="e">
        <f t="shared" si="16"/>
        <v>#N/A</v>
      </c>
      <c r="L73" s="11" t="e">
        <f t="shared" ca="1" si="9"/>
        <v>#N/A</v>
      </c>
      <c r="M73" s="5"/>
      <c r="U73" s="3" t="e">
        <f t="shared" ca="1" si="20"/>
        <v>#N/A</v>
      </c>
      <c r="V73" s="3" t="e">
        <f t="shared" ca="1" si="21"/>
        <v>#N/A</v>
      </c>
      <c r="W73" s="3"/>
      <c r="AA73" s="21">
        <v>7</v>
      </c>
      <c r="AB73" s="11">
        <f t="shared" ca="1" si="2"/>
        <v>0.85218469917568718</v>
      </c>
      <c r="AC73" s="11">
        <f t="shared" ca="1" si="3"/>
        <v>0</v>
      </c>
      <c r="AD73" s="11" t="e">
        <f t="shared" ca="1" si="4"/>
        <v>#N/A</v>
      </c>
      <c r="AE73" s="11">
        <f t="shared" ca="1" si="17"/>
        <v>0</v>
      </c>
      <c r="AF73" s="11">
        <f t="shared" ca="1" si="5"/>
        <v>0.85218469917568718</v>
      </c>
      <c r="AG73" s="11">
        <f t="shared" ca="1" si="18"/>
        <v>1.4307454336183582E-2</v>
      </c>
      <c r="AH73" s="11">
        <f t="shared" ca="1" si="12"/>
        <v>1.4307454336183582E-2</v>
      </c>
      <c r="AI73" s="11" t="e">
        <f t="shared" ca="1" si="13"/>
        <v>#N/A</v>
      </c>
      <c r="AJ73" s="11">
        <f t="shared" ca="1" si="14"/>
        <v>1.4307454336183582E-2</v>
      </c>
      <c r="AK73" s="11">
        <f t="shared" ca="1" si="15"/>
        <v>1.4307454336183582E-2</v>
      </c>
    </row>
    <row r="74" spans="5:37" x14ac:dyDescent="0.2">
      <c r="E74" s="1">
        <v>38</v>
      </c>
      <c r="F74" t="e">
        <f>IF(ISNUMBER(data!F74),data!F74,NA())</f>
        <v>#N/A</v>
      </c>
      <c r="G74" t="e">
        <f>IF(ISNUMBER(data!G74),data!G74,NA())</f>
        <v>#N/A</v>
      </c>
      <c r="H74" t="e">
        <f>IF(ISNUMBER(data!H74),data!H74,NA())</f>
        <v>#N/A</v>
      </c>
      <c r="I74" s="11" t="e">
        <f t="shared" si="7"/>
        <v>#N/A</v>
      </c>
      <c r="J74" s="11" t="e">
        <f t="shared" ca="1" si="19"/>
        <v>#N/A</v>
      </c>
      <c r="K74" s="45" t="e">
        <f t="shared" si="16"/>
        <v>#N/A</v>
      </c>
      <c r="L74" s="11" t="e">
        <f t="shared" ca="1" si="9"/>
        <v>#N/A</v>
      </c>
      <c r="M74" s="5"/>
      <c r="U74" s="3" t="e">
        <f t="shared" ca="1" si="20"/>
        <v>#N/A</v>
      </c>
      <c r="V74" s="3" t="e">
        <f t="shared" ca="1" si="21"/>
        <v>#N/A</v>
      </c>
      <c r="W74" s="3"/>
      <c r="AA74" s="21">
        <v>8</v>
      </c>
      <c r="AB74" s="11">
        <f t="shared" ca="1" si="2"/>
        <v>0.92060097362651672</v>
      </c>
      <c r="AC74" s="11">
        <f t="shared" ca="1" si="3"/>
        <v>0</v>
      </c>
      <c r="AD74" s="11" t="e">
        <f t="shared" ca="1" si="4"/>
        <v>#N/A</v>
      </c>
      <c r="AE74" s="11">
        <f t="shared" ca="1" si="17"/>
        <v>0</v>
      </c>
      <c r="AF74" s="11">
        <f t="shared" ca="1" si="5"/>
        <v>0.92060097362651672</v>
      </c>
      <c r="AG74" s="11">
        <f t="shared" ca="1" si="18"/>
        <v>1.759514633351069E-2</v>
      </c>
      <c r="AH74" s="11">
        <f t="shared" ca="1" si="12"/>
        <v>1.759514633351069E-2</v>
      </c>
      <c r="AI74" s="11" t="e">
        <f t="shared" ca="1" si="13"/>
        <v>#N/A</v>
      </c>
      <c r="AJ74" s="11">
        <f t="shared" ca="1" si="14"/>
        <v>1.759514633351069E-2</v>
      </c>
      <c r="AK74" s="11">
        <f t="shared" ca="1" si="15"/>
        <v>1.759514633351069E-2</v>
      </c>
    </row>
    <row r="75" spans="5:37" x14ac:dyDescent="0.2">
      <c r="E75" s="1">
        <v>39</v>
      </c>
      <c r="F75" t="e">
        <f>IF(ISNUMBER(data!F75),data!F75,NA())</f>
        <v>#N/A</v>
      </c>
      <c r="G75" t="e">
        <f>IF(ISNUMBER(data!G75),data!G75,NA())</f>
        <v>#N/A</v>
      </c>
      <c r="H75" t="e">
        <f>IF(ISNUMBER(data!H75),data!H75,NA())</f>
        <v>#N/A</v>
      </c>
      <c r="I75" s="11" t="e">
        <f t="shared" si="7"/>
        <v>#N/A</v>
      </c>
      <c r="J75" s="11" t="e">
        <f t="shared" ca="1" si="19"/>
        <v>#N/A</v>
      </c>
      <c r="K75" s="45" t="e">
        <f t="shared" si="16"/>
        <v>#N/A</v>
      </c>
      <c r="L75" s="11" t="e">
        <f t="shared" ca="1" si="9"/>
        <v>#N/A</v>
      </c>
      <c r="M75" s="5"/>
      <c r="U75" s="3" t="e">
        <f t="shared" ca="1" si="20"/>
        <v>#N/A</v>
      </c>
      <c r="V75" s="3" t="e">
        <f t="shared" ca="1" si="21"/>
        <v>#N/A</v>
      </c>
      <c r="W75" s="3"/>
      <c r="AA75" s="21">
        <v>9</v>
      </c>
      <c r="AB75" s="11">
        <f t="shared" ca="1" si="2"/>
        <v>0.97870917933590451</v>
      </c>
      <c r="AC75" s="11">
        <f t="shared" ca="1" si="3"/>
        <v>0</v>
      </c>
      <c r="AD75" s="11" t="e">
        <f t="shared" ca="1" si="4"/>
        <v>#N/A</v>
      </c>
      <c r="AE75" s="11">
        <f t="shared" ca="1" si="17"/>
        <v>0</v>
      </c>
      <c r="AF75" s="11">
        <f t="shared" ca="1" si="5"/>
        <v>0.97870917933590451</v>
      </c>
      <c r="AG75" s="11">
        <f t="shared" ca="1" si="18"/>
        <v>2.1921001149387102E-2</v>
      </c>
      <c r="AH75" s="11">
        <f t="shared" ca="1" si="12"/>
        <v>2.1921001149387102E-2</v>
      </c>
      <c r="AI75" s="11" t="e">
        <f t="shared" ca="1" si="13"/>
        <v>#N/A</v>
      </c>
      <c r="AJ75" s="11">
        <f t="shared" ca="1" si="14"/>
        <v>2.1921001149387102E-2</v>
      </c>
      <c r="AK75" s="11">
        <f t="shared" ca="1" si="15"/>
        <v>2.1921001149387102E-2</v>
      </c>
    </row>
    <row r="76" spans="5:37" x14ac:dyDescent="0.2">
      <c r="E76" s="1">
        <v>40</v>
      </c>
      <c r="F76" t="e">
        <f>IF(ISNUMBER(data!F76),data!F76,NA())</f>
        <v>#N/A</v>
      </c>
      <c r="G76" t="e">
        <f>IF(ISNUMBER(data!G76),data!G76,NA())</f>
        <v>#N/A</v>
      </c>
      <c r="H76" t="e">
        <f>IF(ISNUMBER(data!H76),data!H76,NA())</f>
        <v>#N/A</v>
      </c>
      <c r="I76" s="11" t="e">
        <f t="shared" si="7"/>
        <v>#N/A</v>
      </c>
      <c r="J76" s="11" t="e">
        <f t="shared" ca="1" si="19"/>
        <v>#N/A</v>
      </c>
      <c r="K76" s="45" t="e">
        <f t="shared" si="16"/>
        <v>#N/A</v>
      </c>
      <c r="L76" s="11" t="e">
        <f t="shared" ca="1" si="9"/>
        <v>#N/A</v>
      </c>
      <c r="M76" s="5"/>
      <c r="U76" s="3" t="e">
        <f t="shared" ca="1" si="20"/>
        <v>#N/A</v>
      </c>
      <c r="V76" s="3" t="e">
        <f t="shared" ca="1" si="21"/>
        <v>#N/A</v>
      </c>
      <c r="W76" s="3"/>
      <c r="AA76" s="21">
        <v>10</v>
      </c>
      <c r="AB76" s="11">
        <f t="shared" ca="1" si="2"/>
        <v>1.02554772014067</v>
      </c>
      <c r="AC76" s="11">
        <f t="shared" ca="1" si="3"/>
        <v>0</v>
      </c>
      <c r="AD76" s="11" t="e">
        <f t="shared" ca="1" si="4"/>
        <v>#N/A</v>
      </c>
      <c r="AE76" s="11">
        <f t="shared" ca="1" si="17"/>
        <v>0</v>
      </c>
      <c r="AF76" s="11">
        <f t="shared" ca="1" si="5"/>
        <v>1.02554772014067</v>
      </c>
      <c r="AG76" s="11">
        <f t="shared" ca="1" si="18"/>
        <v>2.746572273924227E-2</v>
      </c>
      <c r="AH76" s="11">
        <f t="shared" ca="1" si="12"/>
        <v>2.746572273924227E-2</v>
      </c>
      <c r="AI76" s="11" t="e">
        <f t="shared" ca="1" si="13"/>
        <v>#N/A</v>
      </c>
      <c r="AJ76" s="11">
        <f t="shared" ca="1" si="14"/>
        <v>2.746572273924227E-2</v>
      </c>
      <c r="AK76" s="11">
        <f t="shared" ca="1" si="15"/>
        <v>2.746572273924227E-2</v>
      </c>
    </row>
    <row r="77" spans="5:37" x14ac:dyDescent="0.2">
      <c r="E77" s="1">
        <v>41</v>
      </c>
      <c r="F77" t="e">
        <f>IF(ISNUMBER(data!F77),data!F77,NA())</f>
        <v>#N/A</v>
      </c>
      <c r="G77" t="e">
        <f>IF(ISNUMBER(data!G77),data!G77,NA())</f>
        <v>#N/A</v>
      </c>
      <c r="H77" t="e">
        <f>IF(ISNUMBER(data!H77),data!H77,NA())</f>
        <v>#N/A</v>
      </c>
      <c r="I77" s="11" t="e">
        <f t="shared" si="7"/>
        <v>#N/A</v>
      </c>
      <c r="J77" s="11" t="e">
        <f t="shared" ca="1" si="19"/>
        <v>#N/A</v>
      </c>
      <c r="K77" s="45" t="e">
        <f t="shared" si="16"/>
        <v>#N/A</v>
      </c>
      <c r="L77" s="11" t="e">
        <f t="shared" ca="1" si="9"/>
        <v>#N/A</v>
      </c>
      <c r="M77" s="5"/>
      <c r="U77" s="3" t="e">
        <f t="shared" ca="1" si="20"/>
        <v>#N/A</v>
      </c>
      <c r="V77" s="3" t="e">
        <f t="shared" ca="1" si="21"/>
        <v>#N/A</v>
      </c>
      <c r="W77" s="3"/>
      <c r="AA77" s="21">
        <v>11</v>
      </c>
      <c r="AB77" s="11">
        <f t="shared" ca="1" si="2"/>
        <v>1.0601652475814396</v>
      </c>
      <c r="AC77" s="11">
        <f t="shared" ca="1" si="3"/>
        <v>0</v>
      </c>
      <c r="AD77" s="11" t="e">
        <f t="shared" ca="1" si="4"/>
        <v>#N/A</v>
      </c>
      <c r="AE77" s="11">
        <f t="shared" ca="1" si="17"/>
        <v>0</v>
      </c>
      <c r="AF77" s="11">
        <f t="shared" ca="1" si="5"/>
        <v>1.0601652475814396</v>
      </c>
      <c r="AG77" s="11">
        <f t="shared" ca="1" si="18"/>
        <v>3.4420692468166661E-2</v>
      </c>
      <c r="AH77" s="11">
        <f t="shared" ca="1" si="12"/>
        <v>3.4420692468166661E-2</v>
      </c>
      <c r="AI77" s="11" t="e">
        <f t="shared" ca="1" si="13"/>
        <v>#N/A</v>
      </c>
      <c r="AJ77" s="11">
        <f t="shared" ca="1" si="14"/>
        <v>3.4420692468166661E-2</v>
      </c>
      <c r="AK77" s="11">
        <f t="shared" ca="1" si="15"/>
        <v>3.4420692468166661E-2</v>
      </c>
    </row>
    <row r="78" spans="5:37" x14ac:dyDescent="0.2">
      <c r="E78" s="1">
        <v>42</v>
      </c>
      <c r="F78" t="e">
        <f>IF(ISNUMBER(data!F78),data!F78,NA())</f>
        <v>#N/A</v>
      </c>
      <c r="G78" t="e">
        <f>IF(ISNUMBER(data!G78),data!G78,NA())</f>
        <v>#N/A</v>
      </c>
      <c r="H78" t="e">
        <f>IF(ISNUMBER(data!H78),data!H78,NA())</f>
        <v>#N/A</v>
      </c>
      <c r="I78" s="11" t="e">
        <f t="shared" si="7"/>
        <v>#N/A</v>
      </c>
      <c r="J78" s="11" t="e">
        <f t="shared" ca="1" si="19"/>
        <v>#N/A</v>
      </c>
      <c r="K78" s="45" t="e">
        <f t="shared" si="16"/>
        <v>#N/A</v>
      </c>
      <c r="L78" s="11" t="e">
        <f t="shared" ca="1" si="9"/>
        <v>#N/A</v>
      </c>
      <c r="M78" s="5"/>
      <c r="U78" s="3" t="e">
        <f t="shared" ca="1" si="20"/>
        <v>#N/A</v>
      </c>
      <c r="V78" s="3" t="e">
        <f t="shared" ca="1" si="21"/>
        <v>#N/A</v>
      </c>
      <c r="W78" s="3"/>
      <c r="AA78" s="21">
        <v>12</v>
      </c>
      <c r="AB78" s="11">
        <f t="shared" ca="1" si="2"/>
        <v>1.0816196668932676</v>
      </c>
      <c r="AC78" s="11">
        <f t="shared" ca="1" si="3"/>
        <v>0</v>
      </c>
      <c r="AD78" s="11" t="e">
        <f t="shared" ca="1" si="4"/>
        <v>#N/A</v>
      </c>
      <c r="AE78" s="11">
        <f t="shared" ca="1" si="17"/>
        <v>0</v>
      </c>
      <c r="AF78" s="11">
        <f t="shared" ca="1" si="5"/>
        <v>1.0816196668932676</v>
      </c>
      <c r="AG78" s="11">
        <f t="shared" ca="1" si="18"/>
        <v>4.298758502416182E-2</v>
      </c>
      <c r="AH78" s="11">
        <f t="shared" ca="1" si="12"/>
        <v>4.298758502416182E-2</v>
      </c>
      <c r="AI78" s="11" t="e">
        <f t="shared" ca="1" si="13"/>
        <v>#N/A</v>
      </c>
      <c r="AJ78" s="11">
        <f t="shared" ca="1" si="14"/>
        <v>4.298758502416182E-2</v>
      </c>
      <c r="AK78" s="11">
        <f t="shared" ca="1" si="15"/>
        <v>4.298758502416182E-2</v>
      </c>
    </row>
    <row r="79" spans="5:37" x14ac:dyDescent="0.2">
      <c r="E79" s="1">
        <v>43</v>
      </c>
      <c r="F79" t="e">
        <f>IF(ISNUMBER(data!F79),data!F79,NA())</f>
        <v>#N/A</v>
      </c>
      <c r="G79" t="e">
        <f>IF(ISNUMBER(data!G79),data!G79,NA())</f>
        <v>#N/A</v>
      </c>
      <c r="H79" t="e">
        <f>IF(ISNUMBER(data!H79),data!H79,NA())</f>
        <v>#N/A</v>
      </c>
      <c r="I79" s="11" t="e">
        <f t="shared" si="7"/>
        <v>#N/A</v>
      </c>
      <c r="J79" s="11" t="e">
        <f t="shared" ca="1" si="19"/>
        <v>#N/A</v>
      </c>
      <c r="K79" s="45" t="e">
        <f t="shared" si="16"/>
        <v>#N/A</v>
      </c>
      <c r="L79" s="11" t="e">
        <f t="shared" ca="1" si="9"/>
        <v>#N/A</v>
      </c>
      <c r="M79" s="5"/>
      <c r="U79" s="3" t="e">
        <f t="shared" ca="1" si="20"/>
        <v>#N/A</v>
      </c>
      <c r="V79" s="3" t="e">
        <f t="shared" ca="1" si="21"/>
        <v>#N/A</v>
      </c>
      <c r="W79" s="3"/>
      <c r="AA79" s="21">
        <v>13</v>
      </c>
      <c r="AB79" s="11">
        <f t="shared" ca="1" si="2"/>
        <v>1.0889773117936195</v>
      </c>
      <c r="AC79" s="11">
        <f t="shared" ca="1" si="3"/>
        <v>0.37704507482948513</v>
      </c>
      <c r="AD79" s="11" t="e">
        <f t="shared" ca="1" si="4"/>
        <v>#N/A</v>
      </c>
      <c r="AE79" s="11">
        <f t="shared" ca="1" si="17"/>
        <v>0.37704507482948513</v>
      </c>
      <c r="AF79" s="11">
        <f t="shared" ca="1" si="5"/>
        <v>1.0889773117936195</v>
      </c>
      <c r="AG79" s="11">
        <f t="shared" ca="1" si="18"/>
        <v>5.3378028815479435E-2</v>
      </c>
      <c r="AH79" s="11">
        <f t="shared" ca="1" si="12"/>
        <v>5.3378028815479435E-2</v>
      </c>
      <c r="AI79" s="11" t="e">
        <f t="shared" ca="1" si="13"/>
        <v>#N/A</v>
      </c>
      <c r="AJ79" s="11">
        <f t="shared" ca="1" si="14"/>
        <v>5.3378028815479435E-2</v>
      </c>
      <c r="AK79" s="11">
        <f t="shared" ca="1" si="15"/>
        <v>5.3378028815479435E-2</v>
      </c>
    </row>
    <row r="80" spans="5:37" x14ac:dyDescent="0.2">
      <c r="E80" s="1">
        <v>44</v>
      </c>
      <c r="F80" t="e">
        <f>IF(ISNUMBER(data!F80),data!F80,NA())</f>
        <v>#N/A</v>
      </c>
      <c r="G80" t="e">
        <f>IF(ISNUMBER(data!G80),data!G80,NA())</f>
        <v>#N/A</v>
      </c>
      <c r="H80" t="e">
        <f>IF(ISNUMBER(data!H80),data!H80,NA())</f>
        <v>#N/A</v>
      </c>
      <c r="I80" s="11" t="e">
        <f t="shared" si="7"/>
        <v>#N/A</v>
      </c>
      <c r="J80" s="11" t="e">
        <f t="shared" ca="1" si="19"/>
        <v>#N/A</v>
      </c>
      <c r="K80" s="45" t="e">
        <f t="shared" si="16"/>
        <v>#N/A</v>
      </c>
      <c r="L80" s="11" t="e">
        <f t="shared" ca="1" si="9"/>
        <v>#N/A</v>
      </c>
      <c r="M80" s="5"/>
      <c r="U80" s="3" t="e">
        <f t="shared" ca="1" si="20"/>
        <v>#N/A</v>
      </c>
      <c r="V80" s="3" t="e">
        <f t="shared" ca="1" si="21"/>
        <v>#N/A</v>
      </c>
      <c r="W80" s="3"/>
      <c r="AA80" s="21">
        <v>14</v>
      </c>
      <c r="AB80" s="11">
        <f t="shared" ca="1" si="2"/>
        <v>1.0813122489031111</v>
      </c>
      <c r="AC80" s="11">
        <f t="shared" ca="1" si="3"/>
        <v>0.43835511730403764</v>
      </c>
      <c r="AD80" s="11" t="e">
        <f t="shared" ca="1" si="4"/>
        <v>#N/A</v>
      </c>
      <c r="AE80" s="11">
        <f t="shared" ca="1" si="17"/>
        <v>0.43835511730403764</v>
      </c>
      <c r="AF80" s="11">
        <f t="shared" ca="1" si="5"/>
        <v>1.0813122489031111</v>
      </c>
      <c r="AG80" s="11">
        <f t="shared" ca="1" si="18"/>
        <v>6.5813302676377181E-2</v>
      </c>
      <c r="AH80" s="11">
        <f t="shared" ca="1" si="12"/>
        <v>6.5813302676377181E-2</v>
      </c>
      <c r="AI80" s="11" t="e">
        <f t="shared" ca="1" si="13"/>
        <v>#N/A</v>
      </c>
      <c r="AJ80" s="11">
        <f t="shared" ca="1" si="14"/>
        <v>6.5813302676377181E-2</v>
      </c>
      <c r="AK80" s="11">
        <f t="shared" ca="1" si="15"/>
        <v>6.5813302676377181E-2</v>
      </c>
    </row>
    <row r="81" spans="5:37" x14ac:dyDescent="0.2">
      <c r="E81" s="1">
        <v>45</v>
      </c>
      <c r="F81" t="e">
        <f>IF(ISNUMBER(data!F81),data!F81,NA())</f>
        <v>#N/A</v>
      </c>
      <c r="G81" t="e">
        <f>IF(ISNUMBER(data!G81),data!G81,NA())</f>
        <v>#N/A</v>
      </c>
      <c r="H81" t="e">
        <f>IF(ISNUMBER(data!H81),data!H81,NA())</f>
        <v>#N/A</v>
      </c>
      <c r="I81" s="11" t="e">
        <f t="shared" si="7"/>
        <v>#N/A</v>
      </c>
      <c r="J81" s="11" t="e">
        <f t="shared" ca="1" si="19"/>
        <v>#N/A</v>
      </c>
      <c r="K81" s="45" t="e">
        <f t="shared" si="16"/>
        <v>#N/A</v>
      </c>
      <c r="L81" s="11" t="e">
        <f t="shared" ca="1" si="9"/>
        <v>#N/A</v>
      </c>
      <c r="M81" s="5"/>
      <c r="U81" s="3" t="e">
        <f t="shared" ca="1" si="20"/>
        <v>#N/A</v>
      </c>
      <c r="V81" s="3" t="e">
        <f t="shared" ca="1" si="21"/>
        <v>#N/A</v>
      </c>
      <c r="W81" s="3"/>
      <c r="AA81" s="21">
        <v>15</v>
      </c>
      <c r="AB81" s="11">
        <f t="shared" ca="1" si="2"/>
        <v>1.057705683825966</v>
      </c>
      <c r="AC81" s="11">
        <f t="shared" ca="1" si="3"/>
        <v>0.49674342723227616</v>
      </c>
      <c r="AD81" s="11" t="e">
        <f t="shared" ca="1" si="4"/>
        <v>#N/A</v>
      </c>
      <c r="AE81" s="11">
        <f t="shared" ca="1" si="17"/>
        <v>0.49674342723227616</v>
      </c>
      <c r="AF81" s="11">
        <f t="shared" ca="1" si="5"/>
        <v>1.057705683825966</v>
      </c>
      <c r="AG81" s="11">
        <f t="shared" ca="1" si="18"/>
        <v>8.0524062686744557E-2</v>
      </c>
      <c r="AH81" s="11">
        <f t="shared" ca="1" si="12"/>
        <v>8.0524062686744557E-2</v>
      </c>
      <c r="AI81" s="11" t="e">
        <f t="shared" ca="1" si="13"/>
        <v>#N/A</v>
      </c>
      <c r="AJ81" s="11">
        <f t="shared" ca="1" si="14"/>
        <v>8.0524062686744557E-2</v>
      </c>
      <c r="AK81" s="11">
        <f t="shared" ca="1" si="15"/>
        <v>8.0524062686744557E-2</v>
      </c>
    </row>
    <row r="82" spans="5:37" x14ac:dyDescent="0.2">
      <c r="E82" s="1">
        <v>46</v>
      </c>
      <c r="F82" t="e">
        <f>IF(ISNUMBER(data!F82),data!F82,NA())</f>
        <v>#N/A</v>
      </c>
      <c r="G82" t="e">
        <f>IF(ISNUMBER(data!G82),data!G82,NA())</f>
        <v>#N/A</v>
      </c>
      <c r="H82" t="e">
        <f>IF(ISNUMBER(data!H82),data!H82,NA())</f>
        <v>#N/A</v>
      </c>
      <c r="I82" s="11" t="e">
        <f t="shared" si="7"/>
        <v>#N/A</v>
      </c>
      <c r="J82" s="11" t="e">
        <f t="shared" ca="1" si="19"/>
        <v>#N/A</v>
      </c>
      <c r="K82" s="45" t="e">
        <f t="shared" si="16"/>
        <v>#N/A</v>
      </c>
      <c r="L82" s="11" t="e">
        <f t="shared" ca="1" si="9"/>
        <v>#N/A</v>
      </c>
      <c r="M82" s="5"/>
      <c r="U82" s="3" t="e">
        <f t="shared" ca="1" si="20"/>
        <v>#N/A</v>
      </c>
      <c r="V82" s="3" t="e">
        <f t="shared" ca="1" si="21"/>
        <v>#N/A</v>
      </c>
      <c r="W82" s="3"/>
      <c r="AA82" s="21">
        <v>16</v>
      </c>
      <c r="AB82" s="11">
        <f t="shared" ca="1" si="2"/>
        <v>1.0172454483861104</v>
      </c>
      <c r="AC82" s="11">
        <f t="shared" ca="1" si="3"/>
        <v>0.55226532323634681</v>
      </c>
      <c r="AD82" s="11" t="e">
        <f t="shared" ca="1" si="4"/>
        <v>#N/A</v>
      </c>
      <c r="AE82" s="11">
        <f t="shared" ca="1" si="17"/>
        <v>0.55226532323634681</v>
      </c>
      <c r="AF82" s="11">
        <f t="shared" ca="1" si="5"/>
        <v>1.0172454483861104</v>
      </c>
      <c r="AG82" s="11">
        <f t="shared" ca="1" si="18"/>
        <v>9.7750094311257696E-2</v>
      </c>
      <c r="AH82" s="11">
        <f t="shared" ca="1" si="12"/>
        <v>9.7750094311257696E-2</v>
      </c>
      <c r="AI82" s="11" t="e">
        <f t="shared" ca="1" si="13"/>
        <v>#N/A</v>
      </c>
      <c r="AJ82" s="11">
        <f t="shared" ca="1" si="14"/>
        <v>9.7750094311257696E-2</v>
      </c>
      <c r="AK82" s="11">
        <f t="shared" ca="1" si="15"/>
        <v>9.7750094311257696E-2</v>
      </c>
    </row>
    <row r="83" spans="5:37" x14ac:dyDescent="0.2">
      <c r="E83" s="1">
        <v>47</v>
      </c>
      <c r="F83" t="e">
        <f>IF(ISNUMBER(data!F83),data!F83,NA())</f>
        <v>#N/A</v>
      </c>
      <c r="G83" t="e">
        <f>IF(ISNUMBER(data!G83),data!G83,NA())</f>
        <v>#N/A</v>
      </c>
      <c r="H83" t="e">
        <f>IF(ISNUMBER(data!H83),data!H83,NA())</f>
        <v>#N/A</v>
      </c>
      <c r="I83" s="11" t="e">
        <f t="shared" si="7"/>
        <v>#N/A</v>
      </c>
      <c r="J83" s="11" t="e">
        <f t="shared" ca="1" si="19"/>
        <v>#N/A</v>
      </c>
      <c r="K83" s="45" t="e">
        <f t="shared" si="16"/>
        <v>#N/A</v>
      </c>
      <c r="L83" s="11" t="e">
        <f t="shared" ca="1" si="9"/>
        <v>#N/A</v>
      </c>
      <c r="M83" s="5"/>
      <c r="U83" s="3" t="e">
        <f t="shared" ca="1" si="20"/>
        <v>#N/A</v>
      </c>
      <c r="V83" s="3" t="e">
        <f t="shared" ca="1" si="21"/>
        <v>#N/A</v>
      </c>
      <c r="W83" s="3"/>
      <c r="AA83" s="21">
        <v>17</v>
      </c>
      <c r="AB83" s="11">
        <f t="shared" ca="1" si="2"/>
        <v>0.95902555365290532</v>
      </c>
      <c r="AC83" s="11">
        <f t="shared" ca="1" si="3"/>
        <v>0.60497577914553347</v>
      </c>
      <c r="AD83" s="11" t="e">
        <f t="shared" ca="1" si="4"/>
        <v>#N/A</v>
      </c>
      <c r="AE83" s="11">
        <f t="shared" ca="1" si="17"/>
        <v>0.60497577914553347</v>
      </c>
      <c r="AF83" s="11">
        <f t="shared" ca="1" si="5"/>
        <v>0.95902555365290532</v>
      </c>
      <c r="AG83" s="11">
        <f t="shared" ca="1" si="18"/>
        <v>0.11774008607929745</v>
      </c>
      <c r="AH83" s="11">
        <f t="shared" ca="1" si="12"/>
        <v>0.11774008607929745</v>
      </c>
      <c r="AI83" s="11" t="e">
        <f t="shared" ca="1" si="13"/>
        <v>#N/A</v>
      </c>
      <c r="AJ83" s="11">
        <f t="shared" ca="1" si="14"/>
        <v>0.11774008607929745</v>
      </c>
      <c r="AK83" s="11">
        <f t="shared" ca="1" si="15"/>
        <v>0.11774008607929745</v>
      </c>
    </row>
    <row r="84" spans="5:37" x14ac:dyDescent="0.2">
      <c r="E84" s="1">
        <v>48</v>
      </c>
      <c r="F84" t="e">
        <f>IF(ISNUMBER(data!F84),data!F84,NA())</f>
        <v>#N/A</v>
      </c>
      <c r="G84" t="e">
        <f>IF(ISNUMBER(data!G84),data!G84,NA())</f>
        <v>#N/A</v>
      </c>
      <c r="H84" t="e">
        <f>IF(ISNUMBER(data!H84),data!H84,NA())</f>
        <v>#N/A</v>
      </c>
      <c r="I84" s="11" t="e">
        <f t="shared" si="7"/>
        <v>#N/A</v>
      </c>
      <c r="J84" s="11" t="e">
        <f t="shared" ca="1" si="19"/>
        <v>#N/A</v>
      </c>
      <c r="K84" s="45" t="e">
        <f t="shared" si="16"/>
        <v>#N/A</v>
      </c>
      <c r="L84" s="11" t="e">
        <f t="shared" ca="1" si="9"/>
        <v>#N/A</v>
      </c>
      <c r="M84" s="5"/>
      <c r="U84" s="3" t="e">
        <f t="shared" ca="1" si="20"/>
        <v>#N/A</v>
      </c>
      <c r="V84" s="3" t="e">
        <f t="shared" ca="1" si="21"/>
        <v>#N/A</v>
      </c>
      <c r="W84" s="3"/>
      <c r="AA84" s="21">
        <v>18</v>
      </c>
      <c r="AB84" s="11">
        <f t="shared" ca="1" si="2"/>
        <v>0.88214579701824269</v>
      </c>
      <c r="AC84" s="11">
        <f t="shared" ca="1" si="3"/>
        <v>0.65492942165076729</v>
      </c>
      <c r="AD84" s="11" t="e">
        <f t="shared" ca="1" si="4"/>
        <v>#N/A</v>
      </c>
      <c r="AE84" s="11">
        <f t="shared" ca="1" si="17"/>
        <v>0.65492942165076729</v>
      </c>
      <c r="AF84" s="11">
        <f t="shared" ca="1" si="5"/>
        <v>0.88214579701824269</v>
      </c>
      <c r="AG84" s="11">
        <f t="shared" ca="1" si="18"/>
        <v>0.1407514217800214</v>
      </c>
      <c r="AH84" s="11">
        <f t="shared" ca="1" si="12"/>
        <v>0.1407514217800214</v>
      </c>
      <c r="AI84" s="11" t="e">
        <f t="shared" ca="1" si="13"/>
        <v>#N/A</v>
      </c>
      <c r="AJ84" s="11">
        <f t="shared" ca="1" si="14"/>
        <v>0.1407514217800214</v>
      </c>
      <c r="AK84" s="11">
        <f t="shared" ca="1" si="15"/>
        <v>0.1407514217800214</v>
      </c>
    </row>
    <row r="85" spans="5:37" x14ac:dyDescent="0.2">
      <c r="E85" s="1">
        <v>49</v>
      </c>
      <c r="F85" t="e">
        <f>IF(ISNUMBER(data!F85),data!F85,NA())</f>
        <v>#N/A</v>
      </c>
      <c r="G85" t="e">
        <f>IF(ISNUMBER(data!G85),data!G85,NA())</f>
        <v>#N/A</v>
      </c>
      <c r="H85" t="e">
        <f>IF(ISNUMBER(data!H85),data!H85,NA())</f>
        <v>#N/A</v>
      </c>
      <c r="I85" s="11" t="e">
        <f t="shared" si="7"/>
        <v>#N/A</v>
      </c>
      <c r="J85" s="11" t="e">
        <f t="shared" ca="1" si="19"/>
        <v>#N/A</v>
      </c>
      <c r="K85" s="45" t="e">
        <f t="shared" si="16"/>
        <v>#N/A</v>
      </c>
      <c r="L85" s="11" t="e">
        <f t="shared" ca="1" si="9"/>
        <v>#N/A</v>
      </c>
      <c r="M85" s="5"/>
      <c r="U85" s="3" t="e">
        <f t="shared" ca="1" si="20"/>
        <v>#N/A</v>
      </c>
      <c r="V85" s="3" t="e">
        <f t="shared" ca="1" si="21"/>
        <v>#N/A</v>
      </c>
      <c r="W85" s="3"/>
      <c r="AA85" s="21">
        <v>19</v>
      </c>
      <c r="AB85" s="11">
        <f t="shared" ca="1" si="2"/>
        <v>0.78571141420655533</v>
      </c>
      <c r="AC85" s="11">
        <f t="shared" ca="1" si="3"/>
        <v>0.70218052791178498</v>
      </c>
      <c r="AD85" s="11" t="e">
        <f t="shared" ca="1" si="4"/>
        <v>#N/A</v>
      </c>
      <c r="AE85" s="11">
        <f t="shared" ca="1" si="17"/>
        <v>0.70218052791178498</v>
      </c>
      <c r="AF85" s="11">
        <f t="shared" ca="1" si="5"/>
        <v>0.78571141420655533</v>
      </c>
      <c r="AG85" s="11">
        <f t="shared" ca="1" si="18"/>
        <v>0.16704998871641163</v>
      </c>
      <c r="AH85" s="11">
        <f t="shared" ca="1" si="12"/>
        <v>0.16704998871641163</v>
      </c>
      <c r="AI85" s="11" t="e">
        <f t="shared" ca="1" si="13"/>
        <v>#N/A</v>
      </c>
      <c r="AJ85" s="11">
        <f t="shared" ca="1" si="14"/>
        <v>0.16704998871641163</v>
      </c>
      <c r="AK85" s="11">
        <f t="shared" ca="1" si="15"/>
        <v>0.16704998871641163</v>
      </c>
    </row>
    <row r="86" spans="5:37" x14ac:dyDescent="0.2">
      <c r="E86" s="1">
        <v>50</v>
      </c>
      <c r="F86" t="e">
        <f>IF(ISNUMBER(data!F86),data!F86,NA())</f>
        <v>#N/A</v>
      </c>
      <c r="G86" t="e">
        <f>IF(ISNUMBER(data!G86),data!G86,NA())</f>
        <v>#N/A</v>
      </c>
      <c r="H86" t="e">
        <f>IF(ISNUMBER(data!H86),data!H86,NA())</f>
        <v>#N/A</v>
      </c>
      <c r="I86" s="11" t="e">
        <f t="shared" si="7"/>
        <v>#N/A</v>
      </c>
      <c r="J86" s="11" t="e">
        <f t="shared" ca="1" si="19"/>
        <v>#N/A</v>
      </c>
      <c r="K86" s="45" t="e">
        <f t="shared" si="16"/>
        <v>#N/A</v>
      </c>
      <c r="L86" s="11" t="e">
        <f t="shared" ca="1" si="9"/>
        <v>#N/A</v>
      </c>
      <c r="M86" s="5"/>
      <c r="U86" s="3" t="e">
        <f t="shared" ca="1" si="20"/>
        <v>#N/A</v>
      </c>
      <c r="V86" s="3" t="e">
        <f t="shared" ca="1" si="21"/>
        <v>#N/A</v>
      </c>
      <c r="W86" s="3"/>
      <c r="AA86" s="21">
        <v>20</v>
      </c>
      <c r="AB86" s="11">
        <f t="shared" ca="1" si="2"/>
        <v>0.6688327690290492</v>
      </c>
      <c r="AC86" s="11">
        <f t="shared" ca="1" si="3"/>
        <v>0.74678302311533806</v>
      </c>
      <c r="AD86" s="11" t="e">
        <f t="shared" ca="1" si="4"/>
        <v>#N/A</v>
      </c>
      <c r="AE86" s="11">
        <f t="shared" ca="1" si="17"/>
        <v>0.74678302311533806</v>
      </c>
      <c r="AF86" s="11">
        <f t="shared" ca="1" si="5"/>
        <v>0.74678302311533806</v>
      </c>
      <c r="AG86" s="11">
        <f t="shared" ca="1" si="18"/>
        <v>0.19691</v>
      </c>
      <c r="AH86" s="11">
        <f t="shared" ca="1" si="12"/>
        <v>0.19691</v>
      </c>
      <c r="AI86" s="11" t="e">
        <f t="shared" ca="1" si="13"/>
        <v>#N/A</v>
      </c>
      <c r="AJ86" s="11">
        <f t="shared" ca="1" si="14"/>
        <v>0.19691</v>
      </c>
      <c r="AK86" s="11">
        <f t="shared" ca="1" si="15"/>
        <v>0.19691</v>
      </c>
    </row>
    <row r="87" spans="5:37" x14ac:dyDescent="0.2">
      <c r="E87" s="1">
        <v>51</v>
      </c>
      <c r="F87" t="e">
        <f>IF(ISNUMBER(data!F87),data!F87,NA())</f>
        <v>#N/A</v>
      </c>
      <c r="G87" t="e">
        <f>IF(ISNUMBER(data!G87),data!G87,NA())</f>
        <v>#N/A</v>
      </c>
      <c r="H87" t="e">
        <f>IF(ISNUMBER(data!H87),data!H87,NA())</f>
        <v>#N/A</v>
      </c>
      <c r="I87" s="11" t="e">
        <f t="shared" si="7"/>
        <v>#N/A</v>
      </c>
      <c r="J87" s="11" t="e">
        <f t="shared" ca="1" si="19"/>
        <v>#N/A</v>
      </c>
      <c r="K87" s="45" t="e">
        <f t="shared" si="16"/>
        <v>#N/A</v>
      </c>
      <c r="L87" s="11" t="e">
        <f t="shared" ca="1" si="9"/>
        <v>#N/A</v>
      </c>
      <c r="M87" s="5"/>
      <c r="U87" s="3" t="e">
        <f t="shared" ca="1" si="20"/>
        <v>#N/A</v>
      </c>
      <c r="V87" s="3" t="e">
        <f t="shared" ca="1" si="21"/>
        <v>#N/A</v>
      </c>
      <c r="W87" s="3"/>
      <c r="AA87" s="21">
        <v>21</v>
      </c>
      <c r="AB87" s="11">
        <f t="shared" ca="1" si="2"/>
        <v>0.53062507513995527</v>
      </c>
      <c r="AC87" s="11">
        <f t="shared" ca="1" si="3"/>
        <v>0.78879047798276014</v>
      </c>
      <c r="AD87" s="11" t="e">
        <f t="shared" ca="1" si="4"/>
        <v>#N/A</v>
      </c>
      <c r="AE87" s="11">
        <f t="shared" ca="1" si="17"/>
        <v>0.78879047798276014</v>
      </c>
      <c r="AF87" s="11">
        <f t="shared" ca="1" si="5"/>
        <v>0.78879047798276014</v>
      </c>
      <c r="AG87" s="11">
        <f t="shared" ca="1" si="18"/>
        <v>0</v>
      </c>
      <c r="AH87" s="11">
        <f t="shared" ca="1" si="12"/>
        <v>0.23752862562167659</v>
      </c>
      <c r="AI87" s="11" t="e">
        <f t="shared" ca="1" si="13"/>
        <v>#N/A</v>
      </c>
      <c r="AJ87" s="11">
        <f t="shared" ca="1" si="14"/>
        <v>0.23752862562167659</v>
      </c>
      <c r="AK87" s="11">
        <f t="shared" ca="1" si="15"/>
        <v>0.23752862562167659</v>
      </c>
    </row>
    <row r="88" spans="5:37" x14ac:dyDescent="0.2">
      <c r="E88" s="1">
        <v>52</v>
      </c>
      <c r="F88" t="e">
        <f>IF(ISNUMBER(data!F88),data!F88,NA())</f>
        <v>#N/A</v>
      </c>
      <c r="G88" t="e">
        <f>IF(ISNUMBER(data!G88),data!G88,NA())</f>
        <v>#N/A</v>
      </c>
      <c r="H88" t="e">
        <f>IF(ISNUMBER(data!H88),data!H88,NA())</f>
        <v>#N/A</v>
      </c>
      <c r="I88" s="11" t="e">
        <f t="shared" si="7"/>
        <v>#N/A</v>
      </c>
      <c r="J88" s="11" t="e">
        <f t="shared" ca="1" si="19"/>
        <v>#N/A</v>
      </c>
      <c r="K88" s="45" t="e">
        <f t="shared" si="16"/>
        <v>#N/A</v>
      </c>
      <c r="L88" s="11" t="e">
        <f t="shared" ca="1" si="9"/>
        <v>#N/A</v>
      </c>
      <c r="M88" s="5"/>
      <c r="U88" s="3" t="e">
        <f t="shared" ca="1" si="20"/>
        <v>#N/A</v>
      </c>
      <c r="V88" s="3" t="e">
        <f t="shared" ca="1" si="21"/>
        <v>#N/A</v>
      </c>
      <c r="W88" s="3"/>
      <c r="AA88" s="21">
        <v>22</v>
      </c>
      <c r="AB88" s="11">
        <f t="shared" ca="1" si="2"/>
        <v>0.370208145153891</v>
      </c>
      <c r="AC88" s="11">
        <f t="shared" ca="1" si="3"/>
        <v>0.82825610622513279</v>
      </c>
      <c r="AD88" s="11" t="e">
        <f t="shared" ca="1" si="4"/>
        <v>#N/A</v>
      </c>
      <c r="AE88" s="11">
        <f t="shared" ca="1" si="17"/>
        <v>0.82825610622513279</v>
      </c>
      <c r="AF88" s="11">
        <f t="shared" ca="1" si="5"/>
        <v>0.82825610622513279</v>
      </c>
      <c r="AG88" s="11">
        <f t="shared" ca="1" si="18"/>
        <v>0</v>
      </c>
      <c r="AH88" s="11">
        <f t="shared" ca="1" si="12"/>
        <v>0.2781267985421233</v>
      </c>
      <c r="AI88" s="11" t="e">
        <f t="shared" ca="1" si="13"/>
        <v>#N/A</v>
      </c>
      <c r="AJ88" s="11">
        <f t="shared" ca="1" si="14"/>
        <v>0.2781267985421233</v>
      </c>
      <c r="AK88" s="11">
        <f t="shared" ca="1" si="15"/>
        <v>0.2781267985421233</v>
      </c>
    </row>
    <row r="89" spans="5:37" x14ac:dyDescent="0.2">
      <c r="E89" s="1">
        <v>53</v>
      </c>
      <c r="F89" t="e">
        <f>IF(ISNUMBER(data!F89),data!F89,NA())</f>
        <v>#N/A</v>
      </c>
      <c r="G89" t="e">
        <f>IF(ISNUMBER(data!G89),data!G89,NA())</f>
        <v>#N/A</v>
      </c>
      <c r="H89" t="e">
        <f>IF(ISNUMBER(data!H89),data!H89,NA())</f>
        <v>#N/A</v>
      </c>
      <c r="I89" s="11" t="e">
        <f t="shared" si="7"/>
        <v>#N/A</v>
      </c>
      <c r="J89" s="11" t="e">
        <f t="shared" ca="1" si="19"/>
        <v>#N/A</v>
      </c>
      <c r="K89" s="45" t="e">
        <f t="shared" si="16"/>
        <v>#N/A</v>
      </c>
      <c r="L89" s="11" t="e">
        <f t="shared" ca="1" si="9"/>
        <v>#N/A</v>
      </c>
      <c r="M89" s="5"/>
      <c r="U89" s="3" t="e">
        <f t="shared" ca="1" si="20"/>
        <v>#N/A</v>
      </c>
      <c r="V89" s="3" t="e">
        <f t="shared" ca="1" si="21"/>
        <v>#N/A</v>
      </c>
      <c r="W89" s="3"/>
      <c r="AA89" s="21">
        <v>23</v>
      </c>
      <c r="AB89" s="11">
        <f t="shared" ca="1" si="2"/>
        <v>0.18670616333369594</v>
      </c>
      <c r="AC89" s="11">
        <f t="shared" ca="1" si="3"/>
        <v>0.8652327619441984</v>
      </c>
      <c r="AD89" s="11" t="e">
        <f t="shared" ca="1" si="4"/>
        <v>#N/A</v>
      </c>
      <c r="AE89" s="11">
        <f t="shared" ca="1" si="17"/>
        <v>0.8652327619441984</v>
      </c>
      <c r="AF89" s="11">
        <f t="shared" ca="1" si="5"/>
        <v>0.8652327619441984</v>
      </c>
      <c r="AG89" s="11">
        <f t="shared" ca="1" si="18"/>
        <v>0</v>
      </c>
      <c r="AH89" s="11">
        <f t="shared" ca="1" si="12"/>
        <v>0.31868407635866119</v>
      </c>
      <c r="AI89" s="11" t="e">
        <f t="shared" ca="1" si="13"/>
        <v>#N/A</v>
      </c>
      <c r="AJ89" s="11">
        <f t="shared" ca="1" si="14"/>
        <v>0.31868407635866119</v>
      </c>
      <c r="AK89" s="11">
        <f t="shared" ca="1" si="15"/>
        <v>0.31868407635866119</v>
      </c>
    </row>
    <row r="90" spans="5:37" x14ac:dyDescent="0.2">
      <c r="E90" s="1">
        <v>54</v>
      </c>
      <c r="F90" t="e">
        <f>IF(ISNUMBER(data!F90),data!F90,NA())</f>
        <v>#N/A</v>
      </c>
      <c r="G90" t="e">
        <f>IF(ISNUMBER(data!G90),data!G90,NA())</f>
        <v>#N/A</v>
      </c>
      <c r="H90" t="e">
        <f>IF(ISNUMBER(data!H90),data!H90,NA())</f>
        <v>#N/A</v>
      </c>
      <c r="I90" s="11" t="e">
        <f t="shared" si="7"/>
        <v>#N/A</v>
      </c>
      <c r="J90" s="11" t="e">
        <f t="shared" ca="1" si="19"/>
        <v>#N/A</v>
      </c>
      <c r="K90" s="45" t="e">
        <f t="shared" si="16"/>
        <v>#N/A</v>
      </c>
      <c r="L90" s="11" t="e">
        <f t="shared" ca="1" si="9"/>
        <v>#N/A</v>
      </c>
      <c r="M90" s="5"/>
      <c r="U90" s="3" t="e">
        <f t="shared" ca="1" si="20"/>
        <v>#N/A</v>
      </c>
      <c r="V90" s="3" t="e">
        <f t="shared" ca="1" si="21"/>
        <v>#N/A</v>
      </c>
      <c r="W90" s="3"/>
      <c r="AA90" s="21">
        <v>24</v>
      </c>
      <c r="AB90" s="11">
        <f t="shared" ca="1" si="2"/>
        <v>-2.0752521277196401E-2</v>
      </c>
      <c r="AC90" s="11">
        <f t="shared" ca="1" si="3"/>
        <v>0.89977293697706529</v>
      </c>
      <c r="AD90" s="11" t="e">
        <f t="shared" ca="1" si="4"/>
        <v>#N/A</v>
      </c>
      <c r="AE90" s="11">
        <f t="shared" ca="1" si="17"/>
        <v>0.89977293697706529</v>
      </c>
      <c r="AF90" s="11">
        <f t="shared" ca="1" si="5"/>
        <v>0.89977293697706529</v>
      </c>
      <c r="AG90" s="11">
        <f t="shared" ca="1" si="18"/>
        <v>0</v>
      </c>
      <c r="AH90" s="11">
        <f t="shared" ca="1" si="12"/>
        <v>0.35918003726052783</v>
      </c>
      <c r="AI90" s="11" t="e">
        <f t="shared" ca="1" si="13"/>
        <v>#N/A</v>
      </c>
      <c r="AJ90" s="11">
        <f t="shared" ca="1" si="14"/>
        <v>0.35918003726052783</v>
      </c>
      <c r="AK90" s="11">
        <f t="shared" ca="1" si="15"/>
        <v>0.35918003726052783</v>
      </c>
    </row>
    <row r="91" spans="5:37" x14ac:dyDescent="0.2">
      <c r="E91" s="1">
        <v>55</v>
      </c>
      <c r="F91" t="e">
        <f>IF(ISNUMBER(data!F91),data!F91,NA())</f>
        <v>#N/A</v>
      </c>
      <c r="G91" t="e">
        <f>IF(ISNUMBER(data!G91),data!G91,NA())</f>
        <v>#N/A</v>
      </c>
      <c r="H91" t="e">
        <f>IF(ISNUMBER(data!H91),data!H91,NA())</f>
        <v>#N/A</v>
      </c>
      <c r="I91" s="11" t="e">
        <f t="shared" si="7"/>
        <v>#N/A</v>
      </c>
      <c r="J91" s="11" t="e">
        <f t="shared" ca="1" si="19"/>
        <v>#N/A</v>
      </c>
      <c r="K91" s="45" t="e">
        <f t="shared" si="16"/>
        <v>#N/A</v>
      </c>
      <c r="L91" s="11" t="e">
        <f t="shared" ca="1" si="9"/>
        <v>#N/A</v>
      </c>
      <c r="M91" s="5"/>
      <c r="U91" s="3" t="e">
        <f t="shared" ca="1" si="20"/>
        <v>#N/A</v>
      </c>
      <c r="V91" s="3" t="e">
        <f t="shared" ca="1" si="21"/>
        <v>#N/A</v>
      </c>
      <c r="W91" s="3"/>
      <c r="AA91" s="21">
        <v>25</v>
      </c>
      <c r="AB91" s="11">
        <f t="shared" ca="1" si="2"/>
        <v>-0.25303558387806824</v>
      </c>
      <c r="AC91" s="11">
        <f t="shared" ca="1" si="3"/>
        <v>0.93192875818266652</v>
      </c>
      <c r="AD91" s="11" t="e">
        <f t="shared" ca="1" si="4"/>
        <v>#N/A</v>
      </c>
      <c r="AE91" s="11">
        <f t="shared" ca="1" si="17"/>
        <v>0.93192875818266652</v>
      </c>
      <c r="AF91" s="11">
        <f t="shared" ca="1" si="5"/>
        <v>0.93192875818266652</v>
      </c>
      <c r="AG91" s="11">
        <f t="shared" ca="1" si="18"/>
        <v>0</v>
      </c>
      <c r="AH91" s="11">
        <f t="shared" ca="1" si="12"/>
        <v>0.39959429031187377</v>
      </c>
      <c r="AI91" s="11" t="e">
        <f t="shared" ca="1" si="13"/>
        <v>#N/A</v>
      </c>
      <c r="AJ91" s="11">
        <f t="shared" ca="1" si="14"/>
        <v>0.39959429031187377</v>
      </c>
      <c r="AK91" s="11">
        <f t="shared" ca="1" si="15"/>
        <v>0.39959429031187377</v>
      </c>
    </row>
    <row r="92" spans="5:37" x14ac:dyDescent="0.2">
      <c r="E92" s="1">
        <v>56</v>
      </c>
      <c r="F92" t="e">
        <f>IF(ISNUMBER(data!F92),data!F92,NA())</f>
        <v>#N/A</v>
      </c>
      <c r="G92" t="e">
        <f>IF(ISNUMBER(data!G92),data!G92,NA())</f>
        <v>#N/A</v>
      </c>
      <c r="H92" t="e">
        <f>IF(ISNUMBER(data!H92),data!H92,NA())</f>
        <v>#N/A</v>
      </c>
      <c r="I92" s="11" t="e">
        <f t="shared" si="7"/>
        <v>#N/A</v>
      </c>
      <c r="J92" s="11" t="e">
        <f t="shared" ca="1" si="19"/>
        <v>#N/A</v>
      </c>
      <c r="K92" s="45" t="e">
        <f t="shared" si="16"/>
        <v>#N/A</v>
      </c>
      <c r="L92" s="11" t="e">
        <f t="shared" ca="1" si="9"/>
        <v>#N/A</v>
      </c>
      <c r="M92" s="5"/>
      <c r="U92" s="3" t="e">
        <f t="shared" ca="1" si="20"/>
        <v>#N/A</v>
      </c>
      <c r="V92" s="3" t="e">
        <f t="shared" ca="1" si="21"/>
        <v>#N/A</v>
      </c>
      <c r="W92" s="3"/>
      <c r="AA92" s="21">
        <v>26</v>
      </c>
      <c r="AB92" s="11">
        <f t="shared" ca="1" si="2"/>
        <v>-0.51100689727012583</v>
      </c>
      <c r="AC92" s="11">
        <f t="shared" ca="1" si="3"/>
        <v>0.9617519846678273</v>
      </c>
      <c r="AD92" s="11" t="e">
        <f t="shared" ca="1" si="4"/>
        <v>#N/A</v>
      </c>
      <c r="AE92" s="11">
        <f t="shared" ca="1" si="17"/>
        <v>0.9617519846678273</v>
      </c>
      <c r="AF92" s="11">
        <f t="shared" ca="1" si="5"/>
        <v>0.9617519846678273</v>
      </c>
      <c r="AG92" s="11">
        <f t="shared" ca="1" si="18"/>
        <v>0</v>
      </c>
      <c r="AH92" s="11">
        <f t="shared" ca="1" si="12"/>
        <v>0.43990648571921287</v>
      </c>
      <c r="AI92" s="11" t="e">
        <f t="shared" ca="1" si="13"/>
        <v>#N/A</v>
      </c>
      <c r="AJ92" s="11">
        <f t="shared" ca="1" si="14"/>
        <v>0.43990648571921287</v>
      </c>
      <c r="AK92" s="11">
        <f t="shared" ca="1" si="15"/>
        <v>0.43990648571921287</v>
      </c>
    </row>
    <row r="93" spans="5:37" x14ac:dyDescent="0.2">
      <c r="E93" s="1">
        <v>57</v>
      </c>
      <c r="F93" t="e">
        <f>IF(ISNUMBER(data!F93),data!F93,NA())</f>
        <v>#N/A</v>
      </c>
      <c r="G93" t="e">
        <f>IF(ISNUMBER(data!G93),data!G93,NA())</f>
        <v>#N/A</v>
      </c>
      <c r="H93" t="e">
        <f>IF(ISNUMBER(data!H93),data!H93,NA())</f>
        <v>#N/A</v>
      </c>
      <c r="I93" s="11" t="e">
        <f t="shared" si="7"/>
        <v>#N/A</v>
      </c>
      <c r="J93" s="11" t="e">
        <f t="shared" ca="1" si="19"/>
        <v>#N/A</v>
      </c>
      <c r="K93" s="45" t="e">
        <f t="shared" si="16"/>
        <v>#N/A</v>
      </c>
      <c r="L93" s="11" t="e">
        <f t="shared" ca="1" si="9"/>
        <v>#N/A</v>
      </c>
      <c r="U93" s="3" t="e">
        <f t="shared" ca="1" si="20"/>
        <v>#N/A</v>
      </c>
      <c r="V93" s="3" t="e">
        <f t="shared" ca="1" si="21"/>
        <v>#N/A</v>
      </c>
      <c r="W93" s="3"/>
      <c r="AA93" s="21">
        <v>27</v>
      </c>
      <c r="AB93" s="11">
        <f t="shared" ca="1" si="2"/>
        <v>-0.79552669139295507</v>
      </c>
      <c r="AC93" s="11">
        <f t="shared" ca="1" si="3"/>
        <v>0.98929400495066577</v>
      </c>
      <c r="AD93" s="11" t="e">
        <f t="shared" ca="1" si="4"/>
        <v>#N/A</v>
      </c>
      <c r="AE93" s="11">
        <f t="shared" ca="1" si="17"/>
        <v>0.98929400495066577</v>
      </c>
      <c r="AF93" s="11">
        <f t="shared" ca="1" si="5"/>
        <v>0.98929400495066577</v>
      </c>
      <c r="AG93" s="11">
        <f t="shared" ca="1" si="18"/>
        <v>0</v>
      </c>
      <c r="AH93" s="11">
        <f t="shared" ca="1" si="12"/>
        <v>0.48009632507815647</v>
      </c>
      <c r="AI93" s="11" t="e">
        <f t="shared" ca="1" si="13"/>
        <v>#N/A</v>
      </c>
      <c r="AJ93" s="11">
        <f t="shared" ca="1" si="14"/>
        <v>0.48009632507815647</v>
      </c>
      <c r="AK93" s="11">
        <f t="shared" ca="1" si="15"/>
        <v>0.48009632507815647</v>
      </c>
    </row>
    <row r="94" spans="5:37" x14ac:dyDescent="0.2">
      <c r="E94" s="1">
        <v>58</v>
      </c>
      <c r="F94" t="e">
        <f>IF(ISNUMBER(data!F94),data!F94,NA())</f>
        <v>#N/A</v>
      </c>
      <c r="G94" t="e">
        <f>IF(ISNUMBER(data!G94),data!G94,NA())</f>
        <v>#N/A</v>
      </c>
      <c r="H94" t="e">
        <f>IF(ISNUMBER(data!H94),data!H94,NA())</f>
        <v>#N/A</v>
      </c>
      <c r="I94" s="11" t="e">
        <f t="shared" si="7"/>
        <v>#N/A</v>
      </c>
      <c r="J94" s="11" t="e">
        <f t="shared" ca="1" si="19"/>
        <v>#N/A</v>
      </c>
      <c r="K94" s="45" t="e">
        <f t="shared" si="16"/>
        <v>#N/A</v>
      </c>
      <c r="L94" s="11" t="e">
        <f t="shared" ca="1" si="9"/>
        <v>#N/A</v>
      </c>
      <c r="U94" s="3" t="e">
        <f t="shared" ca="1" si="20"/>
        <v>#N/A</v>
      </c>
      <c r="V94" s="3" t="e">
        <f t="shared" ca="1" si="21"/>
        <v>#N/A</v>
      </c>
      <c r="W94" s="3"/>
      <c r="AA94" s="21">
        <v>28</v>
      </c>
      <c r="AB94" s="11">
        <f t="shared" ca="1" si="2"/>
        <v>-1.107451700603884</v>
      </c>
      <c r="AC94" s="11">
        <f t="shared" ca="1" si="3"/>
        <v>1.0146058340589488</v>
      </c>
      <c r="AD94" s="11" t="e">
        <f t="shared" ca="1" si="4"/>
        <v>#N/A</v>
      </c>
      <c r="AE94" s="11">
        <f t="shared" ca="1" si="17"/>
        <v>1.0146058340589488</v>
      </c>
      <c r="AF94" s="11">
        <f t="shared" ca="1" si="5"/>
        <v>1.0146058340589488</v>
      </c>
      <c r="AG94" s="11">
        <f t="shared" ca="1" si="18"/>
        <v>0</v>
      </c>
      <c r="AH94" s="11">
        <f t="shared" ca="1" si="12"/>
        <v>0.52014357159427071</v>
      </c>
      <c r="AI94" s="11" t="e">
        <f t="shared" ca="1" si="13"/>
        <v>#N/A</v>
      </c>
      <c r="AJ94" s="11">
        <f t="shared" ca="1" si="14"/>
        <v>0.52014357159427071</v>
      </c>
      <c r="AK94" s="11">
        <f t="shared" ca="1" si="15"/>
        <v>0.52014357159427071</v>
      </c>
    </row>
    <row r="95" spans="5:37" x14ac:dyDescent="0.2">
      <c r="E95" s="1">
        <v>59</v>
      </c>
      <c r="F95" t="e">
        <f>IF(ISNUMBER(data!F95),data!F95,NA())</f>
        <v>#N/A</v>
      </c>
      <c r="G95" t="e">
        <f>IF(ISNUMBER(data!G95),data!G95,NA())</f>
        <v>#N/A</v>
      </c>
      <c r="H95" t="e">
        <f>IF(ISNUMBER(data!H95),data!H95,NA())</f>
        <v>#N/A</v>
      </c>
      <c r="I95" s="11" t="e">
        <f t="shared" si="7"/>
        <v>#N/A</v>
      </c>
      <c r="J95" s="11" t="e">
        <f t="shared" ca="1" si="19"/>
        <v>#N/A</v>
      </c>
      <c r="K95" s="45" t="e">
        <f t="shared" si="16"/>
        <v>#N/A</v>
      </c>
      <c r="L95" s="11" t="e">
        <f t="shared" ca="1" si="9"/>
        <v>#N/A</v>
      </c>
      <c r="U95" s="3" t="e">
        <f t="shared" ca="1" si="20"/>
        <v>#N/A</v>
      </c>
      <c r="V95" s="3" t="e">
        <f t="shared" ca="1" si="21"/>
        <v>#N/A</v>
      </c>
      <c r="W95" s="3"/>
      <c r="AA95" s="21">
        <v>29</v>
      </c>
      <c r="AB95" s="11">
        <f t="shared" ca="1" si="2"/>
        <v>-1.4476353000396869</v>
      </c>
      <c r="AC95" s="11">
        <f t="shared" ca="1" si="3"/>
        <v>1.0377381105609009</v>
      </c>
      <c r="AD95" s="11" t="e">
        <f t="shared" ca="1" si="4"/>
        <v>#N/A</v>
      </c>
      <c r="AE95" s="11">
        <f t="shared" ca="1" si="17"/>
        <v>1.0377381105609009</v>
      </c>
      <c r="AF95" s="11">
        <f t="shared" ca="1" si="5"/>
        <v>1.0377381105609009</v>
      </c>
      <c r="AG95" s="11">
        <f t="shared" ca="1" si="18"/>
        <v>0</v>
      </c>
      <c r="AH95" s="11">
        <f t="shared" ca="1" si="12"/>
        <v>0.56002806027291241</v>
      </c>
      <c r="AI95" s="11" t="e">
        <f t="shared" ca="1" si="13"/>
        <v>#N/A</v>
      </c>
      <c r="AJ95" s="11">
        <f t="shared" ca="1" si="14"/>
        <v>0.56002806027291241</v>
      </c>
      <c r="AK95" s="11">
        <f t="shared" ca="1" si="15"/>
        <v>0.56002806027291241</v>
      </c>
    </row>
    <row r="96" spans="5:37" x14ac:dyDescent="0.2">
      <c r="E96" s="1">
        <v>60</v>
      </c>
      <c r="F96" t="e">
        <f>IF(ISNUMBER(data!F96),data!F96,NA())</f>
        <v>#N/A</v>
      </c>
      <c r="G96" t="e">
        <f>IF(ISNUMBER(data!G96),data!G96,NA())</f>
        <v>#N/A</v>
      </c>
      <c r="H96" t="e">
        <f>IF(ISNUMBER(data!H96),data!H96,NA())</f>
        <v>#N/A</v>
      </c>
      <c r="I96" s="11" t="e">
        <f t="shared" si="7"/>
        <v>#N/A</v>
      </c>
      <c r="J96" s="11" t="e">
        <f t="shared" ca="1" si="19"/>
        <v>#N/A</v>
      </c>
      <c r="K96" s="45" t="e">
        <f t="shared" si="16"/>
        <v>#N/A</v>
      </c>
      <c r="L96" s="11" t="e">
        <f t="shared" ca="1" si="9"/>
        <v>#N/A</v>
      </c>
      <c r="U96" s="3" t="e">
        <f t="shared" ca="1" si="20"/>
        <v>#N/A</v>
      </c>
      <c r="V96" s="3" t="e">
        <f t="shared" ca="1" si="21"/>
        <v>#N/A</v>
      </c>
      <c r="W96" s="3"/>
      <c r="AA96" s="21">
        <v>30</v>
      </c>
      <c r="AB96" s="11">
        <f t="shared" ca="1" si="2"/>
        <v>-1.8169276322131811</v>
      </c>
      <c r="AC96" s="11">
        <f t="shared" ca="1" si="3"/>
        <v>1.0587410935258013</v>
      </c>
      <c r="AD96" s="11" t="e">
        <f t="shared" ca="1" si="4"/>
        <v>#N/A</v>
      </c>
      <c r="AE96" s="11">
        <f t="shared" ca="1" si="17"/>
        <v>1.0587410935258013</v>
      </c>
      <c r="AF96" s="11">
        <f t="shared" ca="1" si="5"/>
        <v>1.0587410935258013</v>
      </c>
      <c r="AG96" s="11">
        <f t="shared" ca="1" si="18"/>
        <v>0</v>
      </c>
      <c r="AH96" s="11">
        <f t="shared" ca="1" si="12"/>
        <v>0.59972970807291115</v>
      </c>
      <c r="AI96" s="11" t="e">
        <f t="shared" ca="1" si="13"/>
        <v>#N/A</v>
      </c>
      <c r="AJ96" s="11">
        <f t="shared" ca="1" si="14"/>
        <v>0.59972970807291115</v>
      </c>
      <c r="AK96" s="11">
        <f t="shared" ca="1" si="15"/>
        <v>0.59972970807291115</v>
      </c>
    </row>
    <row r="97" spans="5:37" x14ac:dyDescent="0.2">
      <c r="E97" s="1">
        <v>61</v>
      </c>
      <c r="F97" t="e">
        <f>IF(ISNUMBER(data!F97),data!F97,NA())</f>
        <v>#N/A</v>
      </c>
      <c r="G97" t="e">
        <f>IF(ISNUMBER(data!G97),data!G97,NA())</f>
        <v>#N/A</v>
      </c>
      <c r="H97" t="e">
        <f>IF(ISNUMBER(data!H97),data!H97,NA())</f>
        <v>#N/A</v>
      </c>
      <c r="I97" s="11" t="e">
        <f t="shared" si="7"/>
        <v>#N/A</v>
      </c>
      <c r="J97" s="11" t="e">
        <f t="shared" ca="1" si="19"/>
        <v>#N/A</v>
      </c>
      <c r="K97" s="45" t="e">
        <f t="shared" si="16"/>
        <v>#N/A</v>
      </c>
      <c r="L97" s="11" t="e">
        <f t="shared" ca="1" si="9"/>
        <v>#N/A</v>
      </c>
      <c r="U97" s="3" t="e">
        <f t="shared" ca="1" si="20"/>
        <v>#N/A</v>
      </c>
      <c r="V97" s="3" t="e">
        <f t="shared" ca="1" si="21"/>
        <v>#N/A</v>
      </c>
      <c r="W97" s="3"/>
      <c r="AA97" s="21">
        <v>31</v>
      </c>
      <c r="AB97" s="11">
        <f t="shared" ca="1" si="2"/>
        <v>-2.2161757248417073</v>
      </c>
      <c r="AC97" s="11">
        <f t="shared" ca="1" si="3"/>
        <v>1.0776646594115793</v>
      </c>
      <c r="AD97" s="11" t="e">
        <f t="shared" ca="1" si="4"/>
        <v>#N/A</v>
      </c>
      <c r="AE97" s="11">
        <f t="shared" ca="1" si="17"/>
        <v>1.0776646594115793</v>
      </c>
      <c r="AF97" s="11">
        <f t="shared" ca="1" si="5"/>
        <v>1.0776646594115793</v>
      </c>
      <c r="AG97" s="11">
        <f t="shared" ca="1" si="18"/>
        <v>0</v>
      </c>
      <c r="AH97" s="11">
        <f t="shared" ca="1" si="12"/>
        <v>0.639228524018985</v>
      </c>
      <c r="AI97" s="11" t="e">
        <f t="shared" ca="1" si="13"/>
        <v>#N/A</v>
      </c>
      <c r="AJ97" s="11">
        <f t="shared" ca="1" si="14"/>
        <v>0.639228524018985</v>
      </c>
      <c r="AK97" s="11">
        <f t="shared" ca="1" si="15"/>
        <v>0.639228524018985</v>
      </c>
    </row>
    <row r="98" spans="5:37" x14ac:dyDescent="0.2">
      <c r="E98" s="1">
        <v>62</v>
      </c>
      <c r="F98" t="e">
        <f>IF(ISNUMBER(data!F98),data!F98,NA())</f>
        <v>#N/A</v>
      </c>
      <c r="G98" t="e">
        <f>IF(ISNUMBER(data!G98),data!G98,NA())</f>
        <v>#N/A</v>
      </c>
      <c r="H98" t="e">
        <f>IF(ISNUMBER(data!H98),data!H98,NA())</f>
        <v>#N/A</v>
      </c>
      <c r="I98" s="11" t="e">
        <f t="shared" si="7"/>
        <v>#N/A</v>
      </c>
      <c r="J98" s="11" t="e">
        <f t="shared" ca="1" si="19"/>
        <v>#N/A</v>
      </c>
      <c r="K98" s="45" t="e">
        <f t="shared" si="16"/>
        <v>#N/A</v>
      </c>
      <c r="L98" s="11" t="e">
        <f t="shared" ca="1" si="9"/>
        <v>#N/A</v>
      </c>
      <c r="U98" s="3" t="e">
        <f t="shared" ca="1" si="20"/>
        <v>#N/A</v>
      </c>
      <c r="V98" s="3" t="e">
        <f t="shared" ca="1" si="21"/>
        <v>#N/A</v>
      </c>
      <c r="W98" s="3"/>
      <c r="AA98" s="21">
        <v>32</v>
      </c>
      <c r="AB98" s="11">
        <f t="shared" ca="1" si="2"/>
        <v>-2.6462236007741837</v>
      </c>
      <c r="AC98" s="11">
        <f t="shared" ca="1" si="3"/>
        <v>1.0945582988764602</v>
      </c>
      <c r="AD98" s="11" t="e">
        <f t="shared" ca="1" si="4"/>
        <v>#N/A</v>
      </c>
      <c r="AE98" s="11">
        <f t="shared" ca="1" si="17"/>
        <v>1.0945582988764602</v>
      </c>
      <c r="AF98" s="11">
        <f t="shared" ca="1" si="5"/>
        <v>1.0945582988764602</v>
      </c>
      <c r="AG98" s="11">
        <f t="shared" ca="1" si="18"/>
        <v>0</v>
      </c>
      <c r="AH98" s="11">
        <f t="shared" ca="1" si="12"/>
        <v>0.67850461926779881</v>
      </c>
      <c r="AI98" s="11" t="e">
        <f t="shared" ca="1" si="13"/>
        <v>#N/A</v>
      </c>
      <c r="AJ98" s="11">
        <f t="shared" ca="1" si="14"/>
        <v>0.67850461926779881</v>
      </c>
      <c r="AK98" s="11">
        <f t="shared" ca="1" si="15"/>
        <v>0.67850461926779881</v>
      </c>
    </row>
    <row r="99" spans="5:37" x14ac:dyDescent="0.2">
      <c r="E99" s="1">
        <v>63</v>
      </c>
      <c r="F99" t="e">
        <f>IF(ISNUMBER(data!F99),data!F99,NA())</f>
        <v>#N/A</v>
      </c>
      <c r="G99" t="e">
        <f>IF(ISNUMBER(data!G99),data!G99,NA())</f>
        <v>#N/A</v>
      </c>
      <c r="H99" t="e">
        <f>IF(ISNUMBER(data!H99),data!H99,NA())</f>
        <v>#N/A</v>
      </c>
      <c r="I99" s="11" t="e">
        <f t="shared" si="7"/>
        <v>#N/A</v>
      </c>
      <c r="J99" s="11" t="e">
        <f t="shared" ca="1" si="19"/>
        <v>#N/A</v>
      </c>
      <c r="K99" s="45" t="e">
        <f t="shared" si="16"/>
        <v>#N/A</v>
      </c>
      <c r="L99" s="11" t="e">
        <f t="shared" ca="1" si="9"/>
        <v>#N/A</v>
      </c>
      <c r="U99" s="3" t="e">
        <f t="shared" ca="1" si="20"/>
        <v>#N/A</v>
      </c>
      <c r="V99" s="3" t="e">
        <f t="shared" ca="1" si="21"/>
        <v>#N/A</v>
      </c>
      <c r="W99" s="3"/>
      <c r="AA99" s="21">
        <v>33</v>
      </c>
      <c r="AB99" s="11">
        <f t="shared" ca="1" si="2"/>
        <v>-3.1079123807737408</v>
      </c>
      <c r="AC99" s="11">
        <f t="shared" ca="1" si="3"/>
        <v>1.1094711135115221</v>
      </c>
      <c r="AD99" s="11" t="e">
        <f t="shared" ca="1" si="4"/>
        <v>#N/A</v>
      </c>
      <c r="AE99" s="11">
        <f t="shared" ca="1" si="17"/>
        <v>1.1094711135115221</v>
      </c>
      <c r="AF99" s="11">
        <f t="shared" ca="1" si="5"/>
        <v>1.1094711135115221</v>
      </c>
      <c r="AG99" s="11">
        <f t="shared" ca="1" si="18"/>
        <v>0</v>
      </c>
      <c r="AH99" s="11">
        <f t="shared" ca="1" si="12"/>
        <v>0.71753821712259558</v>
      </c>
      <c r="AI99" s="11" t="e">
        <f t="shared" ca="1" si="13"/>
        <v>#N/A</v>
      </c>
      <c r="AJ99" s="11">
        <f t="shared" ca="1" si="14"/>
        <v>0.71753821712259558</v>
      </c>
      <c r="AK99" s="11">
        <f t="shared" ca="1" si="15"/>
        <v>0.71753821712259558</v>
      </c>
    </row>
    <row r="100" spans="5:37" x14ac:dyDescent="0.2">
      <c r="E100" s="1">
        <v>64</v>
      </c>
      <c r="F100" t="e">
        <f>IF(ISNUMBER(data!F100),data!F100,NA())</f>
        <v>#N/A</v>
      </c>
      <c r="G100" t="e">
        <f>IF(ISNUMBER(data!G100),data!G100,NA())</f>
        <v>#N/A</v>
      </c>
      <c r="H100" t="e">
        <f>IF(ISNUMBER(data!H100),data!H100,NA())</f>
        <v>#N/A</v>
      </c>
      <c r="I100" s="11" t="e">
        <f t="shared" si="7"/>
        <v>#N/A</v>
      </c>
      <c r="J100" s="11" t="e">
        <f t="shared" ca="1" si="19"/>
        <v>#N/A</v>
      </c>
      <c r="K100" s="45" t="e">
        <f t="shared" si="16"/>
        <v>#N/A</v>
      </c>
      <c r="L100" s="11" t="e">
        <f t="shared" ca="1" si="9"/>
        <v>#N/A</v>
      </c>
      <c r="U100" s="3" t="e">
        <f t="shared" ca="1" si="20"/>
        <v>#N/A</v>
      </c>
      <c r="V100" s="3" t="e">
        <f t="shared" ca="1" si="21"/>
        <v>#N/A</v>
      </c>
      <c r="W100" s="3"/>
      <c r="AA100" s="21">
        <v>34</v>
      </c>
      <c r="AB100" s="11">
        <f t="shared" ref="AB100:AB163" ca="1" si="22">IF(AA100&gt;=$Q$28,$Q$27*(AA100-$Q$28)-$Q$29*POWER((AA100-$Q$28)/($Q$26-$Q$28),$Q$32),              $Q$27*(AA100-$Q$28)+$Q$29*POWER(($Q$28-AA100)/($Q$26-$Q$28),$Q$32))</f>
        <v>-3.6020803798198813</v>
      </c>
      <c r="AC100" s="11">
        <f t="shared" ref="AC100:AC163" ca="1" si="23">IF(AND($Q$28&lt;=AA100,AA100&lt;$Q$26),0,IF(AND($Q$26&lt;=AA100,AA100&lt;=92),-0.032*(AA100-92)-$S$26*POWER((92-AA100)/51,$S$28),IF(AA100&gt;92,-0.032*(AA100-92)+$S$26*POWER((AA100-92)/51,$S$28),NA())))</f>
        <v>1.122451812490868</v>
      </c>
      <c r="AD100" s="11" t="e">
        <f t="shared" ref="AD100:AD163" ca="1" si="24">IF(AA100&lt;=$Q$28,-1*FORECAST(-AA100+2*$Q$28,OFFSET(positiveCL2,MATCH(-AA100+2*$Q$28,angles,1)-1,0,2),OFFSET(angles,MATCH(-AA100+2*$Q$28,angles,1)-1,0,2)),NA())</f>
        <v>#N/A</v>
      </c>
      <c r="AE100" s="11">
        <f t="shared" ca="1" si="17"/>
        <v>1.122451812490868</v>
      </c>
      <c r="AF100" s="11">
        <f t="shared" ref="AF100:AF163" ca="1" si="25">IF(AA100&gt;=$Q$28,MAX(AB100,AE100),MIN(AB100,AE100))</f>
        <v>1.122451812490868</v>
      </c>
      <c r="AG100" s="11">
        <f t="shared" ref="AG100:AG131" ca="1" si="26">IF(AND(2*$Q$28-$Q$31&lt;=AA100,AA100&lt;=$Q$31),$Q$33+($Q$30-$Q$33)*POWER(ABS((AA100-$Q$28)/($Q$31-$Q$28)),$Q$34),0)</f>
        <v>0</v>
      </c>
      <c r="AH100" s="11">
        <f t="shared" ca="1" si="12"/>
        <v>0.75630966299135916</v>
      </c>
      <c r="AI100" s="11" t="e">
        <f t="shared" ref="AI100:AI163" ca="1" si="27">IF(AA100&lt;=2*$Q$28-$Q$31, FORECAST(-AA100+2*$Q$28,OFFSET(positiveCD2,MATCH(-AA100+2*$Q$28,angles,1)-1,0,2),OFFSET(angles,MATCH(-AA100+2*$Q$28,angles,1)-1,0,2)), NA())</f>
        <v>#N/A</v>
      </c>
      <c r="AJ100" s="11">
        <f t="shared" ca="1" si="14"/>
        <v>0.75630966299135916</v>
      </c>
      <c r="AK100" s="11">
        <f t="shared" ca="1" si="15"/>
        <v>0.75630966299135916</v>
      </c>
    </row>
    <row r="101" spans="5:37" x14ac:dyDescent="0.2">
      <c r="E101" s="1">
        <v>65</v>
      </c>
      <c r="F101" t="e">
        <f>IF(ISNUMBER(data!F101),data!F101,NA())</f>
        <v>#N/A</v>
      </c>
      <c r="G101" t="e">
        <f>IF(ISNUMBER(data!G101),data!G101,NA())</f>
        <v>#N/A</v>
      </c>
      <c r="H101" t="e">
        <f>IF(ISNUMBER(data!H101),data!H101,NA())</f>
        <v>#N/A</v>
      </c>
      <c r="I101" s="11" t="e">
        <f t="shared" ref="I101:I136" si="28">IF( AND(E101&gt;=$J$24,E101&lt;=$K$24,$L$13=1),G101,NA())</f>
        <v>#N/A</v>
      </c>
      <c r="J101" s="11" t="e">
        <f t="shared" ref="J101:J136" ca="1" si="29">IF(AND(ISNUMBER(INDIRECT($G$1&amp;$E$36+E101+($M$13-1)/2)),ISNUMBER(INDIRECT($G$1&amp;$E$36+E101-($M$13-1)/2)),E101&gt;=$J$24,E101&lt;=$K$24,$L$13=2), AVERAGE(INDIRECT($G$1&amp;$E$36+E101-($M$13-1)/2 &amp;":"&amp;$G$1&amp;$E$36+E101+($M$13-1)/2)),NA())</f>
        <v>#N/A</v>
      </c>
      <c r="K101" s="45" t="e">
        <f t="shared" si="16"/>
        <v>#N/A</v>
      </c>
      <c r="L101" s="11" t="e">
        <f t="shared" ref="L101:L136" ca="1" si="30">IF(AND(E101&gt;=$J$19,F101&lt;=$M$26,ISNUMBER(F101)),$O$13*F101+$O$17,NA())</f>
        <v>#N/A</v>
      </c>
      <c r="U101" s="3" t="e">
        <f t="shared" ref="U101:U136" ca="1" si="31">IF( AND(E101&gt;=$J$24,E101&lt;=$K$24,$L$13=3),F101,IF(E101=$K$24+$U$29,INDIRECT($F$1&amp;$U$22),NA()))</f>
        <v>#N/A</v>
      </c>
      <c r="V101" s="3" t="e">
        <f t="shared" ref="V101:V136" ca="1" si="32">IF( AND(E101&gt;=$J$24,E101&lt;=$K$24,$L$13=3),G101,IF(E101=$K$24+$U$29,$V$29*INDIRECT($G$1&amp;$U$22),NA()))</f>
        <v>#N/A</v>
      </c>
      <c r="W101" s="3"/>
      <c r="AA101" s="21">
        <v>35</v>
      </c>
      <c r="AB101" s="11">
        <f t="shared" ca="1" si="22"/>
        <v>-4.1295631975149236</v>
      </c>
      <c r="AC101" s="11">
        <f t="shared" ca="1" si="23"/>
        <v>1.1335487091359027</v>
      </c>
      <c r="AD101" s="11" t="e">
        <f t="shared" ca="1" si="24"/>
        <v>#N/A</v>
      </c>
      <c r="AE101" s="11">
        <f t="shared" ca="1" si="17"/>
        <v>1.1335487091359027</v>
      </c>
      <c r="AF101" s="11">
        <f t="shared" ca="1" si="25"/>
        <v>1.1335487091359027</v>
      </c>
      <c r="AG101" s="11">
        <f t="shared" ca="1" si="26"/>
        <v>0</v>
      </c>
      <c r="AH101" s="11">
        <f t="shared" ref="AH101:AH164" ca="1" si="33">IF(AND(2*$Q$28-$Q$31&lt;AA101,AA101&lt;$Q$31),AG101,IF(AA101&gt;=$Q$31,$Q$30+($S$27-$Q$30)*SIN((AA101-$Q$31)*90*PI()/((90-$Q$31)*180)),NA()))</f>
        <v>0.7947994342834932</v>
      </c>
      <c r="AI101" s="11" t="e">
        <f t="shared" ca="1" si="27"/>
        <v>#N/A</v>
      </c>
      <c r="AJ101" s="11">
        <f t="shared" ref="AJ101:AJ164" ca="1" si="34">IF(NOT(OR(ISNUMBER(AH101),ISNUMBER(AI101))),0,IF(ISNUMBER(AH101),AH101,AI101))</f>
        <v>0.7947994342834932</v>
      </c>
      <c r="AK101" s="11">
        <f t="shared" ref="AK101:AK164" ca="1" si="35">IF(AG101=0,AJ101,AG101)</f>
        <v>0.7947994342834932</v>
      </c>
    </row>
    <row r="102" spans="5:37" x14ac:dyDescent="0.2">
      <c r="E102" s="1">
        <v>66</v>
      </c>
      <c r="F102" t="e">
        <f>IF(ISNUMBER(data!F102),data!F102,NA())</f>
        <v>#N/A</v>
      </c>
      <c r="G102" t="e">
        <f>IF(ISNUMBER(data!G102),data!G102,NA())</f>
        <v>#N/A</v>
      </c>
      <c r="H102" t="e">
        <f>IF(ISNUMBER(data!H102),data!H102,NA())</f>
        <v>#N/A</v>
      </c>
      <c r="I102" s="11" t="e">
        <f t="shared" si="28"/>
        <v>#N/A</v>
      </c>
      <c r="J102" s="11" t="e">
        <f t="shared" ca="1" si="29"/>
        <v>#N/A</v>
      </c>
      <c r="K102" s="45" t="e">
        <f t="shared" ref="K102:K136" si="36">IF( AND(E102&gt;=$J$24,E102&lt;=$K$24,$L$13=3),$N$11*POWER(F102,6)+$N$12*POWER(F102,5)+$N$13*POWER(F102,4)+$N$14*POWER(F102,3)+$N$15*POWER(F102,2)+$N$16*F102+$N$17,NA())</f>
        <v>#N/A</v>
      </c>
      <c r="L102" s="11" t="e">
        <f t="shared" ca="1" si="30"/>
        <v>#N/A</v>
      </c>
      <c r="U102" s="3" t="e">
        <f t="shared" ca="1" si="31"/>
        <v>#N/A</v>
      </c>
      <c r="V102" s="3" t="e">
        <f t="shared" ca="1" si="32"/>
        <v>#N/A</v>
      </c>
      <c r="W102" s="3"/>
      <c r="AA102" s="21">
        <v>36</v>
      </c>
      <c r="AB102" s="11">
        <f t="shared" ca="1" si="22"/>
        <v>-4.6911938031118279</v>
      </c>
      <c r="AC102" s="11">
        <f t="shared" ca="1" si="23"/>
        <v>1.1428097173900054</v>
      </c>
      <c r="AD102" s="11" t="e">
        <f t="shared" ca="1" si="24"/>
        <v>#N/A</v>
      </c>
      <c r="AE102" s="11">
        <f t="shared" ref="AE102:AE165" ca="1" si="37">IF(NOT(OR(ISNUMBER(AC102),ISNUMBER(AD102))),0,IF(ISNUMBER(AC102),AC102,AD102))</f>
        <v>1.1428097173900054</v>
      </c>
      <c r="AF102" s="11">
        <f t="shared" ca="1" si="25"/>
        <v>1.1428097173900054</v>
      </c>
      <c r="AG102" s="11">
        <f t="shared" ca="1" si="26"/>
        <v>0</v>
      </c>
      <c r="AH102" s="11">
        <f t="shared" ca="1" si="33"/>
        <v>0.83298815024003292</v>
      </c>
      <c r="AI102" s="11" t="e">
        <f t="shared" ca="1" si="27"/>
        <v>#N/A</v>
      </c>
      <c r="AJ102" s="11">
        <f t="shared" ca="1" si="34"/>
        <v>0.83298815024003292</v>
      </c>
      <c r="AK102" s="11">
        <f t="shared" ca="1" si="35"/>
        <v>0.83298815024003292</v>
      </c>
    </row>
    <row r="103" spans="5:37" x14ac:dyDescent="0.2">
      <c r="E103" s="1">
        <v>67</v>
      </c>
      <c r="F103" t="e">
        <f>IF(ISNUMBER(data!F103),data!F103,NA())</f>
        <v>#N/A</v>
      </c>
      <c r="G103" t="e">
        <f>IF(ISNUMBER(data!G103),data!G103,NA())</f>
        <v>#N/A</v>
      </c>
      <c r="H103" t="e">
        <f>IF(ISNUMBER(data!H103),data!H103,NA())</f>
        <v>#N/A</v>
      </c>
      <c r="I103" s="11" t="e">
        <f t="shared" si="28"/>
        <v>#N/A</v>
      </c>
      <c r="J103" s="11" t="e">
        <f t="shared" ca="1" si="29"/>
        <v>#N/A</v>
      </c>
      <c r="K103" s="45" t="e">
        <f t="shared" si="36"/>
        <v>#N/A</v>
      </c>
      <c r="L103" s="11" t="e">
        <f t="shared" ca="1" si="30"/>
        <v>#N/A</v>
      </c>
      <c r="U103" s="3" t="e">
        <f t="shared" ca="1" si="31"/>
        <v>#N/A</v>
      </c>
      <c r="V103" s="3" t="e">
        <f t="shared" ca="1" si="32"/>
        <v>#N/A</v>
      </c>
      <c r="W103" s="3"/>
      <c r="AA103" s="21">
        <v>37</v>
      </c>
      <c r="AB103" s="11">
        <f t="shared" ca="1" si="22"/>
        <v>-5.2878026156220059</v>
      </c>
      <c r="AC103" s="11">
        <f t="shared" ca="1" si="23"/>
        <v>1.1502823481996449</v>
      </c>
      <c r="AD103" s="11" t="e">
        <f t="shared" ca="1" si="24"/>
        <v>#N/A</v>
      </c>
      <c r="AE103" s="11">
        <f t="shared" ca="1" si="37"/>
        <v>1.1502823481996449</v>
      </c>
      <c r="AF103" s="11">
        <f t="shared" ca="1" si="25"/>
        <v>1.1502823481996449</v>
      </c>
      <c r="AG103" s="11">
        <f t="shared" ca="1" si="26"/>
        <v>0</v>
      </c>
      <c r="AH103" s="11">
        <f t="shared" ca="1" si="33"/>
        <v>0.87085658169244173</v>
      </c>
      <c r="AI103" s="11" t="e">
        <f t="shared" ca="1" si="27"/>
        <v>#N/A</v>
      </c>
      <c r="AJ103" s="11">
        <f t="shared" ca="1" si="34"/>
        <v>0.87085658169244173</v>
      </c>
      <c r="AK103" s="11">
        <f t="shared" ca="1" si="35"/>
        <v>0.87085658169244173</v>
      </c>
    </row>
    <row r="104" spans="5:37" x14ac:dyDescent="0.2">
      <c r="E104" s="1">
        <v>68</v>
      </c>
      <c r="F104" t="e">
        <f>IF(ISNUMBER(data!F104),data!F104,NA())</f>
        <v>#N/A</v>
      </c>
      <c r="G104" t="e">
        <f>IF(ISNUMBER(data!G104),data!G104,NA())</f>
        <v>#N/A</v>
      </c>
      <c r="H104" t="e">
        <f>IF(ISNUMBER(data!H104),data!H104,NA())</f>
        <v>#N/A</v>
      </c>
      <c r="I104" s="11" t="e">
        <f t="shared" si="28"/>
        <v>#N/A</v>
      </c>
      <c r="J104" s="11" t="e">
        <f t="shared" ca="1" si="29"/>
        <v>#N/A</v>
      </c>
      <c r="K104" s="45" t="e">
        <f t="shared" si="36"/>
        <v>#N/A</v>
      </c>
      <c r="L104" s="11" t="e">
        <f t="shared" ca="1" si="30"/>
        <v>#N/A</v>
      </c>
      <c r="U104" s="3" t="e">
        <f t="shared" ca="1" si="31"/>
        <v>#N/A</v>
      </c>
      <c r="V104" s="3" t="e">
        <f t="shared" ca="1" si="32"/>
        <v>#N/A</v>
      </c>
      <c r="W104" s="3"/>
      <c r="AA104" s="21">
        <v>38</v>
      </c>
      <c r="AB104" s="11">
        <f t="shared" ca="1" si="22"/>
        <v>-5.9202175794115872</v>
      </c>
      <c r="AC104" s="11">
        <f t="shared" ca="1" si="23"/>
        <v>1.1560137057977522</v>
      </c>
      <c r="AD104" s="11" t="e">
        <f t="shared" ca="1" si="24"/>
        <v>#N/A</v>
      </c>
      <c r="AE104" s="11">
        <f t="shared" ca="1" si="37"/>
        <v>1.1560137057977522</v>
      </c>
      <c r="AF104" s="11">
        <f t="shared" ca="1" si="25"/>
        <v>1.1560137057977522</v>
      </c>
      <c r="AG104" s="11">
        <f t="shared" ca="1" si="26"/>
        <v>0</v>
      </c>
      <c r="AH104" s="11">
        <f t="shared" ca="1" si="33"/>
        <v>0.90838566074507587</v>
      </c>
      <c r="AI104" s="11" t="e">
        <f t="shared" ca="1" si="27"/>
        <v>#N/A</v>
      </c>
      <c r="AJ104" s="11">
        <f t="shared" ca="1" si="34"/>
        <v>0.90838566074507587</v>
      </c>
      <c r="AK104" s="11">
        <f t="shared" ca="1" si="35"/>
        <v>0.90838566074507587</v>
      </c>
    </row>
    <row r="105" spans="5:37" x14ac:dyDescent="0.2">
      <c r="E105" s="1">
        <v>69</v>
      </c>
      <c r="F105" t="e">
        <f>IF(ISNUMBER(data!F105),data!F105,NA())</f>
        <v>#N/A</v>
      </c>
      <c r="G105" t="e">
        <f>IF(ISNUMBER(data!G105),data!G105,NA())</f>
        <v>#N/A</v>
      </c>
      <c r="H105" t="e">
        <f>IF(ISNUMBER(data!H105),data!H105,NA())</f>
        <v>#N/A</v>
      </c>
      <c r="I105" s="11" t="e">
        <f t="shared" si="28"/>
        <v>#N/A</v>
      </c>
      <c r="J105" s="11" t="e">
        <f t="shared" ca="1" si="29"/>
        <v>#N/A</v>
      </c>
      <c r="K105" s="45" t="e">
        <f t="shared" si="36"/>
        <v>#N/A</v>
      </c>
      <c r="L105" s="11" t="e">
        <f t="shared" ca="1" si="30"/>
        <v>#N/A</v>
      </c>
      <c r="U105" s="3" t="e">
        <f t="shared" ca="1" si="31"/>
        <v>#N/A</v>
      </c>
      <c r="V105" s="3" t="e">
        <f t="shared" ca="1" si="32"/>
        <v>#N/A</v>
      </c>
      <c r="W105" s="3"/>
      <c r="AA105" s="21">
        <v>39</v>
      </c>
      <c r="AB105" s="11">
        <f t="shared" ca="1" si="22"/>
        <v>-6.5892642356508651</v>
      </c>
      <c r="AC105" s="11">
        <f t="shared" ca="1" si="23"/>
        <v>1.1600504838848917</v>
      </c>
      <c r="AD105" s="11" t="e">
        <f t="shared" ca="1" si="24"/>
        <v>#N/A</v>
      </c>
      <c r="AE105" s="11">
        <f t="shared" ca="1" si="37"/>
        <v>1.1600504838848917</v>
      </c>
      <c r="AF105" s="11">
        <f t="shared" ca="1" si="25"/>
        <v>1.1600504838848917</v>
      </c>
      <c r="AG105" s="11">
        <f t="shared" ca="1" si="26"/>
        <v>0</v>
      </c>
      <c r="AH105" s="11">
        <f t="shared" ca="1" si="33"/>
        <v>0.94555649037644485</v>
      </c>
      <c r="AI105" s="11" t="e">
        <f t="shared" ca="1" si="27"/>
        <v>#N/A</v>
      </c>
      <c r="AJ105" s="11">
        <f t="shared" ca="1" si="34"/>
        <v>0.94555649037644485</v>
      </c>
      <c r="AK105" s="11">
        <f t="shared" ca="1" si="35"/>
        <v>0.94555649037644485</v>
      </c>
    </row>
    <row r="106" spans="5:37" x14ac:dyDescent="0.2">
      <c r="E106" s="1">
        <v>70</v>
      </c>
      <c r="F106" t="e">
        <f>IF(ISNUMBER(data!F106),data!F106,NA())</f>
        <v>#N/A</v>
      </c>
      <c r="G106" t="e">
        <f>IF(ISNUMBER(data!G106),data!G106,NA())</f>
        <v>#N/A</v>
      </c>
      <c r="H106" t="e">
        <f>IF(ISNUMBER(data!H106),data!H106,NA())</f>
        <v>#N/A</v>
      </c>
      <c r="I106" s="11" t="e">
        <f t="shared" si="28"/>
        <v>#N/A</v>
      </c>
      <c r="J106" s="11" t="e">
        <f t="shared" ca="1" si="29"/>
        <v>#N/A</v>
      </c>
      <c r="K106" s="45" t="e">
        <f t="shared" si="36"/>
        <v>#N/A</v>
      </c>
      <c r="L106" s="11" t="e">
        <f t="shared" ca="1" si="30"/>
        <v>#N/A</v>
      </c>
      <c r="U106" s="3" t="e">
        <f t="shared" ca="1" si="31"/>
        <v>#N/A</v>
      </c>
      <c r="V106" s="3" t="e">
        <f t="shared" ca="1" si="32"/>
        <v>#N/A</v>
      </c>
      <c r="W106" s="3"/>
      <c r="AA106" s="21">
        <v>40</v>
      </c>
      <c r="AB106" s="11">
        <f t="shared" ca="1" si="22"/>
        <v>-7.2957657899437729</v>
      </c>
      <c r="AC106" s="11">
        <f t="shared" ca="1" si="23"/>
        <v>1.1624389617034816</v>
      </c>
      <c r="AD106" s="11" t="e">
        <f t="shared" ca="1" si="24"/>
        <v>#N/A</v>
      </c>
      <c r="AE106" s="11">
        <f t="shared" ca="1" si="37"/>
        <v>1.1624389617034816</v>
      </c>
      <c r="AF106" s="11">
        <f t="shared" ca="1" si="25"/>
        <v>1.1624389617034816</v>
      </c>
      <c r="AG106" s="11">
        <f t="shared" ca="1" si="26"/>
        <v>0</v>
      </c>
      <c r="AH106" s="11">
        <f t="shared" ca="1" si="33"/>
        <v>0.98235035395443004</v>
      </c>
      <c r="AI106" s="11" t="e">
        <f t="shared" ca="1" si="27"/>
        <v>#N/A</v>
      </c>
      <c r="AJ106" s="11">
        <f t="shared" ca="1" si="34"/>
        <v>0.98235035395443004</v>
      </c>
      <c r="AK106" s="11">
        <f t="shared" ca="1" si="35"/>
        <v>0.98235035395443004</v>
      </c>
    </row>
    <row r="107" spans="5:37" x14ac:dyDescent="0.2">
      <c r="E107" s="1">
        <v>71</v>
      </c>
      <c r="F107" t="e">
        <f>IF(ISNUMBER(data!F107),data!F107,NA())</f>
        <v>#N/A</v>
      </c>
      <c r="G107" t="e">
        <f>IF(ISNUMBER(data!G107),data!G107,NA())</f>
        <v>#N/A</v>
      </c>
      <c r="H107" t="e">
        <f>IF(ISNUMBER(data!H107),data!H107,NA())</f>
        <v>#N/A</v>
      </c>
      <c r="I107" s="11" t="e">
        <f t="shared" si="28"/>
        <v>#N/A</v>
      </c>
      <c r="J107" s="11" t="e">
        <f t="shared" ca="1" si="29"/>
        <v>#N/A</v>
      </c>
      <c r="K107" s="45" t="e">
        <f t="shared" si="36"/>
        <v>#N/A</v>
      </c>
      <c r="L107" s="11" t="e">
        <f t="shared" ca="1" si="30"/>
        <v>#N/A</v>
      </c>
      <c r="U107" s="3" t="e">
        <f t="shared" ca="1" si="31"/>
        <v>#N/A</v>
      </c>
      <c r="V107" s="3" t="e">
        <f t="shared" ca="1" si="32"/>
        <v>#N/A</v>
      </c>
      <c r="W107" s="3"/>
      <c r="AA107" s="21">
        <v>41</v>
      </c>
      <c r="AB107" s="11">
        <f t="shared" ca="1" si="22"/>
        <v>-8.04054317643077</v>
      </c>
      <c r="AC107" s="11">
        <f t="shared" ca="1" si="23"/>
        <v>1.1632250000000002</v>
      </c>
      <c r="AD107" s="11" t="e">
        <f t="shared" ca="1" si="24"/>
        <v>#N/A</v>
      </c>
      <c r="AE107" s="11">
        <f t="shared" ca="1" si="37"/>
        <v>1.1632250000000002</v>
      </c>
      <c r="AF107" s="11">
        <f t="shared" ca="1" si="25"/>
        <v>1.1632250000000002</v>
      </c>
      <c r="AG107" s="11">
        <f t="shared" ca="1" si="26"/>
        <v>0</v>
      </c>
      <c r="AH107" s="11">
        <f t="shared" ca="1" si="33"/>
        <v>1.018748724660673</v>
      </c>
      <c r="AI107" s="11" t="e">
        <f t="shared" ca="1" si="27"/>
        <v>#N/A</v>
      </c>
      <c r="AJ107" s="11">
        <f t="shared" ca="1" si="34"/>
        <v>1.018748724660673</v>
      </c>
      <c r="AK107" s="11">
        <f t="shared" ca="1" si="35"/>
        <v>1.018748724660673</v>
      </c>
    </row>
    <row r="108" spans="5:37" x14ac:dyDescent="0.2">
      <c r="E108" s="1">
        <v>72</v>
      </c>
      <c r="F108" t="e">
        <f>IF(ISNUMBER(data!F108),data!F108,NA())</f>
        <v>#N/A</v>
      </c>
      <c r="G108" t="e">
        <f>IF(ISNUMBER(data!G108),data!G108,NA())</f>
        <v>#N/A</v>
      </c>
      <c r="H108" t="e">
        <f>IF(ISNUMBER(data!H108),data!H108,NA())</f>
        <v>#N/A</v>
      </c>
      <c r="I108" s="11" t="e">
        <f t="shared" si="28"/>
        <v>#N/A</v>
      </c>
      <c r="J108" s="11" t="e">
        <f t="shared" ca="1" si="29"/>
        <v>#N/A</v>
      </c>
      <c r="K108" s="45" t="e">
        <f t="shared" si="36"/>
        <v>#N/A</v>
      </c>
      <c r="L108" s="11" t="e">
        <f t="shared" ca="1" si="30"/>
        <v>#N/A</v>
      </c>
      <c r="U108" s="3" t="e">
        <f t="shared" ca="1" si="31"/>
        <v>#N/A</v>
      </c>
      <c r="V108" s="3" t="e">
        <f t="shared" ca="1" si="32"/>
        <v>#N/A</v>
      </c>
      <c r="W108" s="3"/>
      <c r="AA108" s="21">
        <v>42</v>
      </c>
      <c r="AB108" s="11">
        <f t="shared" ca="1" si="22"/>
        <v>-8.82441511862989</v>
      </c>
      <c r="AC108" s="11">
        <f t="shared" ca="1" si="23"/>
        <v>1.162454036869784</v>
      </c>
      <c r="AD108" s="11" t="e">
        <f t="shared" ca="1" si="24"/>
        <v>#N/A</v>
      </c>
      <c r="AE108" s="11">
        <f t="shared" ca="1" si="37"/>
        <v>1.162454036869784</v>
      </c>
      <c r="AF108" s="11">
        <f t="shared" ca="1" si="25"/>
        <v>1.162454036869784</v>
      </c>
      <c r="AG108" s="11">
        <f t="shared" ca="1" si="26"/>
        <v>0</v>
      </c>
      <c r="AH108" s="11">
        <f t="shared" ca="1" si="33"/>
        <v>1.0547332748193872</v>
      </c>
      <c r="AI108" s="11" t="e">
        <f t="shared" ca="1" si="27"/>
        <v>#N/A</v>
      </c>
      <c r="AJ108" s="11">
        <f t="shared" ca="1" si="34"/>
        <v>1.0547332748193872</v>
      </c>
      <c r="AK108" s="11">
        <f t="shared" ca="1" si="35"/>
        <v>1.0547332748193872</v>
      </c>
    </row>
    <row r="109" spans="5:37" x14ac:dyDescent="0.2">
      <c r="E109" s="1">
        <v>73</v>
      </c>
      <c r="F109" t="e">
        <f>IF(ISNUMBER(data!F109),data!F109,NA())</f>
        <v>#N/A</v>
      </c>
      <c r="G109" t="e">
        <f>IF(ISNUMBER(data!G109),data!G109,NA())</f>
        <v>#N/A</v>
      </c>
      <c r="H109" t="e">
        <f>IF(ISNUMBER(data!H109),data!H109,NA())</f>
        <v>#N/A</v>
      </c>
      <c r="I109" s="11" t="e">
        <f t="shared" si="28"/>
        <v>#N/A</v>
      </c>
      <c r="J109" s="11" t="e">
        <f t="shared" ca="1" si="29"/>
        <v>#N/A</v>
      </c>
      <c r="K109" s="45" t="e">
        <f t="shared" si="36"/>
        <v>#N/A</v>
      </c>
      <c r="L109" s="11" t="e">
        <f t="shared" ca="1" si="30"/>
        <v>#N/A</v>
      </c>
      <c r="U109" s="3" t="e">
        <f t="shared" ca="1" si="31"/>
        <v>#N/A</v>
      </c>
      <c r="V109" s="3" t="e">
        <f t="shared" ca="1" si="32"/>
        <v>#N/A</v>
      </c>
      <c r="W109" s="3"/>
      <c r="AA109" s="21">
        <v>43</v>
      </c>
      <c r="AB109" s="11">
        <f t="shared" ca="1" si="22"/>
        <v>-9.648198187254577</v>
      </c>
      <c r="AC109" s="11">
        <f t="shared" ca="1" si="23"/>
        <v>1.1601710834786294</v>
      </c>
      <c r="AD109" s="11" t="e">
        <f t="shared" ca="1" si="24"/>
        <v>#N/A</v>
      </c>
      <c r="AE109" s="11">
        <f t="shared" ca="1" si="37"/>
        <v>1.1601710834786294</v>
      </c>
      <c r="AF109" s="11">
        <f t="shared" ca="1" si="25"/>
        <v>1.1601710834786294</v>
      </c>
      <c r="AG109" s="11">
        <f t="shared" ca="1" si="26"/>
        <v>0</v>
      </c>
      <c r="AH109" s="11">
        <f t="shared" ca="1" si="33"/>
        <v>1.0902858851258932</v>
      </c>
      <c r="AI109" s="11" t="e">
        <f t="shared" ca="1" si="27"/>
        <v>#N/A</v>
      </c>
      <c r="AJ109" s="11">
        <f t="shared" ca="1" si="34"/>
        <v>1.0902858851258932</v>
      </c>
      <c r="AK109" s="11">
        <f t="shared" ca="1" si="35"/>
        <v>1.0902858851258932</v>
      </c>
    </row>
    <row r="110" spans="5:37" x14ac:dyDescent="0.2">
      <c r="E110" s="1">
        <v>74</v>
      </c>
      <c r="F110" t="e">
        <f>IF(ISNUMBER(data!F110),data!F110,NA())</f>
        <v>#N/A</v>
      </c>
      <c r="G110" t="e">
        <f>IF(ISNUMBER(data!G110),data!G110,NA())</f>
        <v>#N/A</v>
      </c>
      <c r="H110" t="e">
        <f>IF(ISNUMBER(data!H110),data!H110,NA())</f>
        <v>#N/A</v>
      </c>
      <c r="I110" s="11" t="e">
        <f t="shared" si="28"/>
        <v>#N/A</v>
      </c>
      <c r="J110" s="11" t="e">
        <f t="shared" ca="1" si="29"/>
        <v>#N/A</v>
      </c>
      <c r="K110" s="45" t="e">
        <f t="shared" si="36"/>
        <v>#N/A</v>
      </c>
      <c r="L110" s="11" t="e">
        <f t="shared" ca="1" si="30"/>
        <v>#N/A</v>
      </c>
      <c r="U110" s="3" t="e">
        <f t="shared" ca="1" si="31"/>
        <v>#N/A</v>
      </c>
      <c r="V110" s="3" t="e">
        <f t="shared" ca="1" si="32"/>
        <v>#N/A</v>
      </c>
      <c r="W110" s="3"/>
      <c r="AA110" s="21">
        <v>44</v>
      </c>
      <c r="AB110" s="11">
        <f t="shared" ca="1" si="22"/>
        <v>-10.512706855224756</v>
      </c>
      <c r="AC110" s="11">
        <f t="shared" ca="1" si="23"/>
        <v>1.1564207196550331</v>
      </c>
      <c r="AD110" s="11" t="e">
        <f t="shared" ca="1" si="24"/>
        <v>#N/A</v>
      </c>
      <c r="AE110" s="11">
        <f t="shared" ca="1" si="37"/>
        <v>1.1564207196550331</v>
      </c>
      <c r="AF110" s="11">
        <f t="shared" ca="1" si="25"/>
        <v>1.1564207196550331</v>
      </c>
      <c r="AG110" s="11">
        <f t="shared" ca="1" si="26"/>
        <v>0</v>
      </c>
      <c r="AH110" s="11">
        <f t="shared" ca="1" si="33"/>
        <v>1.1253886537702351</v>
      </c>
      <c r="AI110" s="11" t="e">
        <f t="shared" ca="1" si="27"/>
        <v>#N/A</v>
      </c>
      <c r="AJ110" s="11">
        <f t="shared" ca="1" si="34"/>
        <v>1.1253886537702351</v>
      </c>
      <c r="AK110" s="11">
        <f t="shared" ca="1" si="35"/>
        <v>1.1253886537702351</v>
      </c>
    </row>
    <row r="111" spans="5:37" x14ac:dyDescent="0.2">
      <c r="E111" s="1">
        <v>75</v>
      </c>
      <c r="F111" t="e">
        <f>IF(ISNUMBER(data!F111),data!F111,NA())</f>
        <v>#N/A</v>
      </c>
      <c r="G111" t="e">
        <f>IF(ISNUMBER(data!G111),data!G111,NA())</f>
        <v>#N/A</v>
      </c>
      <c r="H111" t="e">
        <f>IF(ISNUMBER(data!H111),data!H111,NA())</f>
        <v>#N/A</v>
      </c>
      <c r="I111" s="11" t="e">
        <f t="shared" si="28"/>
        <v>#N/A</v>
      </c>
      <c r="J111" s="11" t="e">
        <f t="shared" ca="1" si="29"/>
        <v>#N/A</v>
      </c>
      <c r="K111" s="45" t="e">
        <f t="shared" si="36"/>
        <v>#N/A</v>
      </c>
      <c r="L111" s="11" t="e">
        <f t="shared" ca="1" si="30"/>
        <v>#N/A</v>
      </c>
      <c r="U111" s="3" t="e">
        <f t="shared" ca="1" si="31"/>
        <v>#N/A</v>
      </c>
      <c r="V111" s="3" t="e">
        <f t="shared" ca="1" si="32"/>
        <v>#N/A</v>
      </c>
      <c r="W111" s="3"/>
      <c r="AA111" s="21">
        <v>45</v>
      </c>
      <c r="AB111" s="11">
        <f t="shared" ca="1" si="22"/>
        <v>-11.418753550067422</v>
      </c>
      <c r="AC111" s="11">
        <f t="shared" ca="1" si="23"/>
        <v>1.1512470893464428</v>
      </c>
      <c r="AD111" s="11" t="e">
        <f t="shared" ca="1" si="24"/>
        <v>#N/A</v>
      </c>
      <c r="AE111" s="11">
        <f t="shared" ca="1" si="37"/>
        <v>1.1512470893464428</v>
      </c>
      <c r="AF111" s="11">
        <f t="shared" ca="1" si="25"/>
        <v>1.1512470893464428</v>
      </c>
      <c r="AG111" s="11">
        <f t="shared" ca="1" si="26"/>
        <v>0</v>
      </c>
      <c r="AH111" s="11">
        <f t="shared" ca="1" si="33"/>
        <v>1.1600239054512815</v>
      </c>
      <c r="AI111" s="11" t="e">
        <f t="shared" ca="1" si="27"/>
        <v>#N/A</v>
      </c>
      <c r="AJ111" s="11">
        <f t="shared" ca="1" si="34"/>
        <v>1.1600239054512815</v>
      </c>
      <c r="AK111" s="11">
        <f t="shared" ca="1" si="35"/>
        <v>1.1600239054512815</v>
      </c>
    </row>
    <row r="112" spans="5:37" x14ac:dyDescent="0.2">
      <c r="E112" s="1">
        <v>76</v>
      </c>
      <c r="F112" t="e">
        <f>IF(ISNUMBER(data!F112),data!F112,NA())</f>
        <v>#N/A</v>
      </c>
      <c r="G112" t="e">
        <f>IF(ISNUMBER(data!G112),data!G112,NA())</f>
        <v>#N/A</v>
      </c>
      <c r="H112" t="e">
        <f>IF(ISNUMBER(data!H112),data!H112,NA())</f>
        <v>#N/A</v>
      </c>
      <c r="I112" s="11" t="e">
        <f t="shared" si="28"/>
        <v>#N/A</v>
      </c>
      <c r="J112" s="11" t="e">
        <f t="shared" ca="1" si="29"/>
        <v>#N/A</v>
      </c>
      <c r="K112" s="45" t="e">
        <f t="shared" si="36"/>
        <v>#N/A</v>
      </c>
      <c r="L112" s="11" t="e">
        <f t="shared" ca="1" si="30"/>
        <v>#N/A</v>
      </c>
      <c r="U112" s="3" t="e">
        <f t="shared" ca="1" si="31"/>
        <v>#N/A</v>
      </c>
      <c r="V112" s="3" t="e">
        <f t="shared" ca="1" si="32"/>
        <v>#N/A</v>
      </c>
      <c r="W112" s="3"/>
      <c r="AA112" s="21">
        <v>46</v>
      </c>
      <c r="AB112" s="11">
        <f t="shared" ca="1" si="22"/>
        <v>-12.367148703885238</v>
      </c>
      <c r="AC112" s="11">
        <f t="shared" ca="1" si="23"/>
        <v>1.144693895932416</v>
      </c>
      <c r="AD112" s="11" t="e">
        <f t="shared" ca="1" si="24"/>
        <v>#N/A</v>
      </c>
      <c r="AE112" s="11">
        <f t="shared" ca="1" si="37"/>
        <v>1.144693895932416</v>
      </c>
      <c r="AF112" s="11">
        <f t="shared" ca="1" si="25"/>
        <v>1.144693895932416</v>
      </c>
      <c r="AG112" s="11">
        <f t="shared" ca="1" si="26"/>
        <v>0</v>
      </c>
      <c r="AH112" s="11">
        <f t="shared" ca="1" si="33"/>
        <v>1.1941742002767703</v>
      </c>
      <c r="AI112" s="11" t="e">
        <f t="shared" ca="1" si="27"/>
        <v>#N/A</v>
      </c>
      <c r="AJ112" s="11">
        <f t="shared" ca="1" si="34"/>
        <v>1.1941742002767703</v>
      </c>
      <c r="AK112" s="11">
        <f t="shared" ca="1" si="35"/>
        <v>1.1941742002767703</v>
      </c>
    </row>
    <row r="113" spans="5:37" x14ac:dyDescent="0.2">
      <c r="E113" s="1">
        <v>77</v>
      </c>
      <c r="F113" t="e">
        <f>IF(ISNUMBER(data!F113),data!F113,NA())</f>
        <v>#N/A</v>
      </c>
      <c r="G113" t="e">
        <f>IF(ISNUMBER(data!G113),data!G113,NA())</f>
        <v>#N/A</v>
      </c>
      <c r="H113" t="e">
        <f>IF(ISNUMBER(data!H113),data!H113,NA())</f>
        <v>#N/A</v>
      </c>
      <c r="I113" s="11" t="e">
        <f t="shared" si="28"/>
        <v>#N/A</v>
      </c>
      <c r="J113" s="11" t="e">
        <f t="shared" ca="1" si="29"/>
        <v>#N/A</v>
      </c>
      <c r="K113" s="45" t="e">
        <f t="shared" si="36"/>
        <v>#N/A</v>
      </c>
      <c r="L113" s="11" t="e">
        <f t="shared" ca="1" si="30"/>
        <v>#N/A</v>
      </c>
      <c r="U113" s="3" t="e">
        <f t="shared" ca="1" si="31"/>
        <v>#N/A</v>
      </c>
      <c r="V113" s="3" t="e">
        <f t="shared" ca="1" si="32"/>
        <v>#N/A</v>
      </c>
      <c r="W113" s="3"/>
      <c r="AA113" s="21">
        <v>47</v>
      </c>
      <c r="AB113" s="11">
        <f t="shared" ca="1" si="22"/>
        <v>-13.358700801055949</v>
      </c>
      <c r="AC113" s="11">
        <f t="shared" ca="1" si="23"/>
        <v>1.1368043973870554</v>
      </c>
      <c r="AD113" s="11" t="e">
        <f t="shared" ca="1" si="24"/>
        <v>#N/A</v>
      </c>
      <c r="AE113" s="11">
        <f t="shared" ca="1" si="37"/>
        <v>1.1368043973870554</v>
      </c>
      <c r="AF113" s="11">
        <f t="shared" ca="1" si="25"/>
        <v>1.1368043973870554</v>
      </c>
      <c r="AG113" s="11">
        <f t="shared" ca="1" si="26"/>
        <v>0</v>
      </c>
      <c r="AH113" s="11">
        <f t="shared" ca="1" si="33"/>
        <v>1.2278223425448216</v>
      </c>
      <c r="AI113" s="11" t="e">
        <f t="shared" ca="1" si="27"/>
        <v>#N/A</v>
      </c>
      <c r="AJ113" s="11">
        <f t="shared" ca="1" si="34"/>
        <v>1.2278223425448216</v>
      </c>
      <c r="AK113" s="11">
        <f t="shared" ca="1" si="35"/>
        <v>1.2278223425448216</v>
      </c>
    </row>
    <row r="114" spans="5:37" x14ac:dyDescent="0.2">
      <c r="E114" s="1">
        <v>78</v>
      </c>
      <c r="F114" t="e">
        <f>IF(ISNUMBER(data!F114),data!F114,NA())</f>
        <v>#N/A</v>
      </c>
      <c r="G114" t="e">
        <f>IF(ISNUMBER(data!G114),data!G114,NA())</f>
        <v>#N/A</v>
      </c>
      <c r="H114" t="e">
        <f>IF(ISNUMBER(data!H114),data!H114,NA())</f>
        <v>#N/A</v>
      </c>
      <c r="I114" s="11" t="e">
        <f t="shared" si="28"/>
        <v>#N/A</v>
      </c>
      <c r="J114" s="11" t="e">
        <f t="shared" ca="1" si="29"/>
        <v>#N/A</v>
      </c>
      <c r="K114" s="45" t="e">
        <f t="shared" si="36"/>
        <v>#N/A</v>
      </c>
      <c r="L114" s="11" t="e">
        <f t="shared" ca="1" si="30"/>
        <v>#N/A</v>
      </c>
      <c r="U114" s="3" t="e">
        <f t="shared" ca="1" si="31"/>
        <v>#N/A</v>
      </c>
      <c r="V114" s="3" t="e">
        <f t="shared" ca="1" si="32"/>
        <v>#N/A</v>
      </c>
      <c r="W114" s="3"/>
      <c r="AA114" s="21">
        <v>48</v>
      </c>
      <c r="AB114" s="11">
        <f t="shared" ca="1" si="22"/>
        <v>-14.394216423811351</v>
      </c>
      <c r="AC114" s="11">
        <f t="shared" ca="1" si="23"/>
        <v>1.1276214012825068</v>
      </c>
      <c r="AD114" s="11" t="e">
        <f t="shared" ca="1" si="24"/>
        <v>#N/A</v>
      </c>
      <c r="AE114" s="11">
        <f t="shared" ca="1" si="37"/>
        <v>1.1276214012825068</v>
      </c>
      <c r="AF114" s="11">
        <f t="shared" ca="1" si="25"/>
        <v>1.1276214012825068</v>
      </c>
      <c r="AG114" s="11">
        <f t="shared" ca="1" si="26"/>
        <v>0</v>
      </c>
      <c r="AH114" s="11">
        <f t="shared" ca="1" si="33"/>
        <v>1.26095138940249</v>
      </c>
      <c r="AI114" s="11" t="e">
        <f t="shared" ca="1" si="27"/>
        <v>#N/A</v>
      </c>
      <c r="AJ114" s="11">
        <f t="shared" ca="1" si="34"/>
        <v>1.26095138940249</v>
      </c>
      <c r="AK114" s="11">
        <f t="shared" ca="1" si="35"/>
        <v>1.26095138940249</v>
      </c>
    </row>
    <row r="115" spans="5:37" x14ac:dyDescent="0.2">
      <c r="E115" s="1">
        <v>79</v>
      </c>
      <c r="F115" t="e">
        <f>IF(ISNUMBER(data!F115),data!F115,NA())</f>
        <v>#N/A</v>
      </c>
      <c r="G115" t="e">
        <f>IF(ISNUMBER(data!G115),data!G115,NA())</f>
        <v>#N/A</v>
      </c>
      <c r="H115" t="e">
        <f>IF(ISNUMBER(data!H115),data!H115,NA())</f>
        <v>#N/A</v>
      </c>
      <c r="I115" s="11" t="e">
        <f t="shared" si="28"/>
        <v>#N/A</v>
      </c>
      <c r="J115" s="11" t="e">
        <f t="shared" ca="1" si="29"/>
        <v>#N/A</v>
      </c>
      <c r="K115" s="45" t="e">
        <f t="shared" si="36"/>
        <v>#N/A</v>
      </c>
      <c r="L115" s="11" t="e">
        <f t="shared" ca="1" si="30"/>
        <v>#N/A</v>
      </c>
      <c r="U115" s="3" t="e">
        <f t="shared" ca="1" si="31"/>
        <v>#N/A</v>
      </c>
      <c r="V115" s="3" t="e">
        <f t="shared" ca="1" si="32"/>
        <v>#N/A</v>
      </c>
      <c r="W115" s="3"/>
      <c r="AA115" s="21">
        <v>49</v>
      </c>
      <c r="AB115" s="11">
        <f t="shared" ca="1" si="22"/>
        <v>-15.474500295831636</v>
      </c>
      <c r="AC115" s="11">
        <f t="shared" ca="1" si="23"/>
        <v>1.1171872596246619</v>
      </c>
      <c r="AD115" s="11" t="e">
        <f t="shared" ca="1" si="24"/>
        <v>#N/A</v>
      </c>
      <c r="AE115" s="11">
        <f t="shared" ca="1" si="37"/>
        <v>1.1171872596246619</v>
      </c>
      <c r="AF115" s="11">
        <f t="shared" ca="1" si="25"/>
        <v>1.1171872596246619</v>
      </c>
      <c r="AG115" s="11">
        <f t="shared" ca="1" si="26"/>
        <v>0</v>
      </c>
      <c r="AH115" s="11">
        <f t="shared" ca="1" si="33"/>
        <v>1.2935446593770015</v>
      </c>
      <c r="AI115" s="11" t="e">
        <f t="shared" ca="1" si="27"/>
        <v>#N/A</v>
      </c>
      <c r="AJ115" s="11">
        <f t="shared" ca="1" si="34"/>
        <v>1.2935446593770015</v>
      </c>
      <c r="AK115" s="11">
        <f t="shared" ca="1" si="35"/>
        <v>1.2935446593770015</v>
      </c>
    </row>
    <row r="116" spans="5:37" x14ac:dyDescent="0.2">
      <c r="E116" s="1">
        <v>80</v>
      </c>
      <c r="F116" t="e">
        <f>IF(ISNUMBER(data!F116),data!F116,NA())</f>
        <v>#N/A</v>
      </c>
      <c r="G116" t="e">
        <f>IF(ISNUMBER(data!G116),data!G116,NA())</f>
        <v>#N/A</v>
      </c>
      <c r="H116" t="e">
        <f>IF(ISNUMBER(data!H116),data!H116,NA())</f>
        <v>#N/A</v>
      </c>
      <c r="I116" s="11" t="e">
        <f t="shared" si="28"/>
        <v>#N/A</v>
      </c>
      <c r="J116" s="11" t="e">
        <f t="shared" ca="1" si="29"/>
        <v>#N/A</v>
      </c>
      <c r="K116" s="45" t="e">
        <f t="shared" si="36"/>
        <v>#N/A</v>
      </c>
      <c r="L116" s="11" t="e">
        <f t="shared" ca="1" si="30"/>
        <v>#N/A</v>
      </c>
      <c r="U116" s="3" t="e">
        <f t="shared" ca="1" si="31"/>
        <v>#N/A</v>
      </c>
      <c r="V116" s="3" t="e">
        <f t="shared" ca="1" si="32"/>
        <v>#N/A</v>
      </c>
      <c r="W116" s="3"/>
      <c r="AA116" s="21">
        <v>50</v>
      </c>
      <c r="AB116" s="11">
        <f t="shared" ca="1" si="22"/>
        <v>-16.600355323980249</v>
      </c>
      <c r="AC116" s="11">
        <f t="shared" ca="1" si="23"/>
        <v>1.1055438635115113</v>
      </c>
      <c r="AD116" s="11" t="e">
        <f t="shared" ca="1" si="24"/>
        <v>#N/A</v>
      </c>
      <c r="AE116" s="11">
        <f t="shared" ca="1" si="37"/>
        <v>1.1055438635115113</v>
      </c>
      <c r="AF116" s="11">
        <f t="shared" ca="1" si="25"/>
        <v>1.1055438635115113</v>
      </c>
      <c r="AG116" s="11">
        <f t="shared" ca="1" si="26"/>
        <v>0</v>
      </c>
      <c r="AH116" s="11">
        <f t="shared" ca="1" si="33"/>
        <v>1.3255857407753788</v>
      </c>
      <c r="AI116" s="11" t="e">
        <f t="shared" ca="1" si="27"/>
        <v>#N/A</v>
      </c>
      <c r="AJ116" s="11">
        <f t="shared" ca="1" si="34"/>
        <v>1.3255857407753788</v>
      </c>
      <c r="AK116" s="11">
        <f t="shared" ca="1" si="35"/>
        <v>1.3255857407753788</v>
      </c>
    </row>
    <row r="117" spans="5:37" x14ac:dyDescent="0.2">
      <c r="E117" s="1">
        <v>81</v>
      </c>
      <c r="F117" t="e">
        <f>IF(ISNUMBER(data!F117),data!F117,NA())</f>
        <v>#N/A</v>
      </c>
      <c r="G117" t="e">
        <f>IF(ISNUMBER(data!G117),data!G117,NA())</f>
        <v>#N/A</v>
      </c>
      <c r="H117" t="e">
        <f>IF(ISNUMBER(data!H117),data!H117,NA())</f>
        <v>#N/A</v>
      </c>
      <c r="I117" s="11" t="e">
        <f t="shared" si="28"/>
        <v>#N/A</v>
      </c>
      <c r="J117" s="11" t="e">
        <f t="shared" ca="1" si="29"/>
        <v>#N/A</v>
      </c>
      <c r="K117" s="45" t="e">
        <f t="shared" si="36"/>
        <v>#N/A</v>
      </c>
      <c r="L117" s="11" t="e">
        <f t="shared" ca="1" si="30"/>
        <v>#N/A</v>
      </c>
      <c r="U117" s="3" t="e">
        <f t="shared" ca="1" si="31"/>
        <v>#N/A</v>
      </c>
      <c r="V117" s="3" t="e">
        <f t="shared" ca="1" si="32"/>
        <v>#N/A</v>
      </c>
      <c r="W117" s="3"/>
      <c r="AA117" s="21">
        <v>51</v>
      </c>
      <c r="AB117" s="11">
        <f t="shared" ca="1" si="22"/>
        <v>-17.772582638293546</v>
      </c>
      <c r="AC117" s="11">
        <f t="shared" ca="1" si="23"/>
        <v>1.0927326376038102</v>
      </c>
      <c r="AD117" s="11" t="e">
        <f t="shared" ca="1" si="24"/>
        <v>#N/A</v>
      </c>
      <c r="AE117" s="11">
        <f t="shared" ca="1" si="37"/>
        <v>1.0927326376038102</v>
      </c>
      <c r="AF117" s="11">
        <f t="shared" ca="1" si="25"/>
        <v>1.0927326376038102</v>
      </c>
      <c r="AG117" s="11">
        <f t="shared" ca="1" si="26"/>
        <v>0</v>
      </c>
      <c r="AH117" s="11">
        <f t="shared" ca="1" si="33"/>
        <v>1.3570584999482203</v>
      </c>
      <c r="AI117" s="11" t="e">
        <f t="shared" ca="1" si="27"/>
        <v>#N/A</v>
      </c>
      <c r="AJ117" s="11">
        <f t="shared" ca="1" si="34"/>
        <v>1.3570584999482203</v>
      </c>
      <c r="AK117" s="11">
        <f t="shared" ca="1" si="35"/>
        <v>1.3570584999482203</v>
      </c>
    </row>
    <row r="118" spans="5:37" x14ac:dyDescent="0.2">
      <c r="E118" s="1">
        <v>82</v>
      </c>
      <c r="F118" t="e">
        <f>IF(ISNUMBER(data!F118),data!F118,NA())</f>
        <v>#N/A</v>
      </c>
      <c r="G118" t="e">
        <f>IF(ISNUMBER(data!G118),data!G118,NA())</f>
        <v>#N/A</v>
      </c>
      <c r="H118" t="e">
        <f>IF(ISNUMBER(data!H118),data!H118,NA())</f>
        <v>#N/A</v>
      </c>
      <c r="I118" s="11" t="e">
        <f t="shared" si="28"/>
        <v>#N/A</v>
      </c>
      <c r="J118" s="11" t="e">
        <f t="shared" ca="1" si="29"/>
        <v>#N/A</v>
      </c>
      <c r="K118" s="45" t="e">
        <f t="shared" si="36"/>
        <v>#N/A</v>
      </c>
      <c r="L118" s="11" t="e">
        <f t="shared" ca="1" si="30"/>
        <v>#N/A</v>
      </c>
      <c r="U118" s="3" t="e">
        <f t="shared" ca="1" si="31"/>
        <v>#N/A</v>
      </c>
      <c r="V118" s="3" t="e">
        <f t="shared" ca="1" si="32"/>
        <v>#N/A</v>
      </c>
      <c r="W118" s="3"/>
      <c r="AA118" s="21">
        <v>52</v>
      </c>
      <c r="AB118" s="11">
        <f t="shared" ca="1" si="22"/>
        <v>-18.99198163033077</v>
      </c>
      <c r="AC118" s="11">
        <f t="shared" ca="1" si="23"/>
        <v>1.0787945343968564</v>
      </c>
      <c r="AD118" s="11" t="e">
        <f t="shared" ca="1" si="24"/>
        <v>#N/A</v>
      </c>
      <c r="AE118" s="11">
        <f t="shared" ca="1" si="37"/>
        <v>1.0787945343968564</v>
      </c>
      <c r="AF118" s="11">
        <f t="shared" ca="1" si="25"/>
        <v>1.0787945343968564</v>
      </c>
      <c r="AG118" s="11">
        <f t="shared" ca="1" si="26"/>
        <v>0</v>
      </c>
      <c r="AH118" s="11">
        <f t="shared" ca="1" si="33"/>
        <v>1.3879470894134811</v>
      </c>
      <c r="AI118" s="11" t="e">
        <f t="shared" ca="1" si="27"/>
        <v>#N/A</v>
      </c>
      <c r="AJ118" s="11">
        <f t="shared" ca="1" si="34"/>
        <v>1.3879470894134811</v>
      </c>
      <c r="AK118" s="11">
        <f t="shared" ca="1" si="35"/>
        <v>1.3879470894134811</v>
      </c>
    </row>
    <row r="119" spans="5:37" x14ac:dyDescent="0.2">
      <c r="E119" s="1">
        <v>83</v>
      </c>
      <c r="F119" t="e">
        <f>IF(ISNUMBER(data!F119),data!F119,NA())</f>
        <v>#N/A</v>
      </c>
      <c r="G119" t="e">
        <f>IF(ISNUMBER(data!G119),data!G119,NA())</f>
        <v>#N/A</v>
      </c>
      <c r="H119" t="e">
        <f>IF(ISNUMBER(data!H119),data!H119,NA())</f>
        <v>#N/A</v>
      </c>
      <c r="I119" s="11" t="e">
        <f t="shared" si="28"/>
        <v>#N/A</v>
      </c>
      <c r="J119" s="11" t="e">
        <f t="shared" ca="1" si="29"/>
        <v>#N/A</v>
      </c>
      <c r="K119" s="45" t="e">
        <f t="shared" si="36"/>
        <v>#N/A</v>
      </c>
      <c r="L119" s="11" t="e">
        <f t="shared" ca="1" si="30"/>
        <v>#N/A</v>
      </c>
      <c r="U119" s="3" t="e">
        <f t="shared" ca="1" si="31"/>
        <v>#N/A</v>
      </c>
      <c r="V119" s="3" t="e">
        <f t="shared" ca="1" si="32"/>
        <v>#N/A</v>
      </c>
      <c r="W119" s="3"/>
      <c r="AA119" s="21">
        <v>53</v>
      </c>
      <c r="AB119" s="11">
        <f t="shared" ca="1" si="22"/>
        <v>-20.259349989981615</v>
      </c>
      <c r="AC119" s="11">
        <f t="shared" ca="1" si="23"/>
        <v>1.063770028281225</v>
      </c>
      <c r="AD119" s="11" t="e">
        <f t="shared" ca="1" si="24"/>
        <v>#N/A</v>
      </c>
      <c r="AE119" s="11">
        <f t="shared" ca="1" si="37"/>
        <v>1.063770028281225</v>
      </c>
      <c r="AF119" s="11">
        <f t="shared" ca="1" si="25"/>
        <v>1.063770028281225</v>
      </c>
      <c r="AG119" s="11">
        <f t="shared" ca="1" si="26"/>
        <v>0</v>
      </c>
      <c r="AH119" s="11">
        <f t="shared" ca="1" si="33"/>
        <v>1.4182359558361559</v>
      </c>
      <c r="AI119" s="11" t="e">
        <f t="shared" ca="1" si="27"/>
        <v>#N/A</v>
      </c>
      <c r="AJ119" s="11">
        <f t="shared" ca="1" si="34"/>
        <v>1.4182359558361559</v>
      </c>
      <c r="AK119" s="11">
        <f t="shared" ca="1" si="35"/>
        <v>1.4182359558361559</v>
      </c>
    </row>
    <row r="120" spans="5:37" x14ac:dyDescent="0.2">
      <c r="E120" s="1">
        <v>84</v>
      </c>
      <c r="F120" t="e">
        <f>IF(ISNUMBER(data!F120),data!F120,NA())</f>
        <v>#N/A</v>
      </c>
      <c r="G120" t="e">
        <f>IF(ISNUMBER(data!G120),data!G120,NA())</f>
        <v>#N/A</v>
      </c>
      <c r="H120" t="e">
        <f>IF(ISNUMBER(data!H120),data!H120,NA())</f>
        <v>#N/A</v>
      </c>
      <c r="I120" s="11" t="e">
        <f t="shared" si="28"/>
        <v>#N/A</v>
      </c>
      <c r="J120" s="11" t="e">
        <f t="shared" ca="1" si="29"/>
        <v>#N/A</v>
      </c>
      <c r="K120" s="45" t="e">
        <f t="shared" si="36"/>
        <v>#N/A</v>
      </c>
      <c r="L120" s="11" t="e">
        <f t="shared" ca="1" si="30"/>
        <v>#N/A</v>
      </c>
      <c r="U120" s="3" t="e">
        <f t="shared" ca="1" si="31"/>
        <v>#N/A</v>
      </c>
      <c r="V120" s="3" t="e">
        <f t="shared" ca="1" si="32"/>
        <v>#N/A</v>
      </c>
      <c r="W120" s="3"/>
      <c r="AA120" s="21">
        <v>54</v>
      </c>
      <c r="AB120" s="11">
        <f t="shared" ca="1" si="22"/>
        <v>-21.575483740821092</v>
      </c>
      <c r="AC120" s="11">
        <f t="shared" ca="1" si="23"/>
        <v>1.0476991093792454</v>
      </c>
      <c r="AD120" s="11" t="e">
        <f t="shared" ca="1" si="24"/>
        <v>#N/A</v>
      </c>
      <c r="AE120" s="11">
        <f t="shared" ca="1" si="37"/>
        <v>1.0476991093792454</v>
      </c>
      <c r="AF120" s="11">
        <f t="shared" ca="1" si="25"/>
        <v>1.0476991093792454</v>
      </c>
      <c r="AG120" s="11">
        <f t="shared" ca="1" si="26"/>
        <v>0</v>
      </c>
      <c r="AH120" s="11">
        <f t="shared" ca="1" si="33"/>
        <v>1.447909847859852</v>
      </c>
      <c r="AI120" s="11" t="e">
        <f t="shared" ca="1" si="27"/>
        <v>#N/A</v>
      </c>
      <c r="AJ120" s="11">
        <f t="shared" ca="1" si="34"/>
        <v>1.447909847859852</v>
      </c>
      <c r="AK120" s="11">
        <f t="shared" ca="1" si="35"/>
        <v>1.447909847859852</v>
      </c>
    </row>
    <row r="121" spans="5:37" x14ac:dyDescent="0.2">
      <c r="E121" s="1">
        <v>85</v>
      </c>
      <c r="F121" t="e">
        <f>IF(ISNUMBER(data!F121),data!F121,NA())</f>
        <v>#N/A</v>
      </c>
      <c r="G121" t="e">
        <f>IF(ISNUMBER(data!G121),data!G121,NA())</f>
        <v>#N/A</v>
      </c>
      <c r="H121" t="e">
        <f>IF(ISNUMBER(data!H121),data!H121,NA())</f>
        <v>#N/A</v>
      </c>
      <c r="I121" s="11" t="e">
        <f t="shared" si="28"/>
        <v>#N/A</v>
      </c>
      <c r="J121" s="11" t="e">
        <f t="shared" ca="1" si="29"/>
        <v>#N/A</v>
      </c>
      <c r="K121" s="45" t="e">
        <f t="shared" si="36"/>
        <v>#N/A</v>
      </c>
      <c r="L121" s="11" t="e">
        <f t="shared" ca="1" si="30"/>
        <v>#N/A</v>
      </c>
      <c r="U121" s="3" t="e">
        <f t="shared" ca="1" si="31"/>
        <v>#N/A</v>
      </c>
      <c r="V121" s="3" t="e">
        <f t="shared" ca="1" si="32"/>
        <v>#N/A</v>
      </c>
      <c r="W121" s="3"/>
      <c r="AA121" s="21">
        <v>55</v>
      </c>
      <c r="AB121" s="11">
        <f t="shared" ca="1" si="22"/>
        <v>-22.941177274094546</v>
      </c>
      <c r="AC121" s="11">
        <f t="shared" ca="1" si="23"/>
        <v>1.0306212771428074</v>
      </c>
      <c r="AD121" s="11" t="e">
        <f t="shared" ca="1" si="24"/>
        <v>#N/A</v>
      </c>
      <c r="AE121" s="11">
        <f t="shared" ca="1" si="37"/>
        <v>1.0306212771428074</v>
      </c>
      <c r="AF121" s="11">
        <f t="shared" ca="1" si="25"/>
        <v>1.0306212771428074</v>
      </c>
      <c r="AG121" s="11">
        <f t="shared" ca="1" si="26"/>
        <v>0</v>
      </c>
      <c r="AH121" s="11">
        <f t="shared" ca="1" si="33"/>
        <v>1.4769538237863069</v>
      </c>
      <c r="AI121" s="11" t="e">
        <f t="shared" ca="1" si="27"/>
        <v>#N/A</v>
      </c>
      <c r="AJ121" s="11">
        <f t="shared" ca="1" si="34"/>
        <v>1.4769538237863069</v>
      </c>
      <c r="AK121" s="11">
        <f t="shared" ca="1" si="35"/>
        <v>1.4769538237863069</v>
      </c>
    </row>
    <row r="122" spans="5:37" x14ac:dyDescent="0.2">
      <c r="E122" s="1">
        <v>86</v>
      </c>
      <c r="F122" t="e">
        <f>IF(ISNUMBER(data!F122),data!F122,NA())</f>
        <v>#N/A</v>
      </c>
      <c r="G122" t="e">
        <f>IF(ISNUMBER(data!G122),data!G122,NA())</f>
        <v>#N/A</v>
      </c>
      <c r="H122" t="e">
        <f>IF(ISNUMBER(data!H122),data!H122,NA())</f>
        <v>#N/A</v>
      </c>
      <c r="I122" s="11" t="e">
        <f t="shared" si="28"/>
        <v>#N/A</v>
      </c>
      <c r="J122" s="11" t="e">
        <f t="shared" ca="1" si="29"/>
        <v>#N/A</v>
      </c>
      <c r="K122" s="45" t="e">
        <f t="shared" si="36"/>
        <v>#N/A</v>
      </c>
      <c r="L122" s="11" t="e">
        <f t="shared" ca="1" si="30"/>
        <v>#N/A</v>
      </c>
      <c r="U122" s="3" t="e">
        <f t="shared" ca="1" si="31"/>
        <v>#N/A</v>
      </c>
      <c r="V122" s="3" t="e">
        <f t="shared" ca="1" si="32"/>
        <v>#N/A</v>
      </c>
      <c r="W122" s="3"/>
      <c r="AA122" s="21">
        <v>56</v>
      </c>
      <c r="AB122" s="11">
        <f t="shared" ca="1" si="22"/>
        <v>-24.3572233814096</v>
      </c>
      <c r="AC122" s="11">
        <f t="shared" ca="1" si="23"/>
        <v>1.0125755336967699</v>
      </c>
      <c r="AD122" s="11" t="e">
        <f t="shared" ca="1" si="24"/>
        <v>#N/A</v>
      </c>
      <c r="AE122" s="11">
        <f t="shared" ca="1" si="37"/>
        <v>1.0125755336967699</v>
      </c>
      <c r="AF122" s="11">
        <f t="shared" ca="1" si="25"/>
        <v>1.0125755336967699</v>
      </c>
      <c r="AG122" s="11">
        <f t="shared" ca="1" si="26"/>
        <v>0</v>
      </c>
      <c r="AH122" s="11">
        <f t="shared" ca="1" si="33"/>
        <v>1.5053532590989822</v>
      </c>
      <c r="AI122" s="11" t="e">
        <f t="shared" ca="1" si="27"/>
        <v>#N/A</v>
      </c>
      <c r="AJ122" s="11">
        <f t="shared" ca="1" si="34"/>
        <v>1.5053532590989822</v>
      </c>
      <c r="AK122" s="11">
        <f t="shared" ca="1" si="35"/>
        <v>1.5053532590989822</v>
      </c>
    </row>
    <row r="123" spans="5:37" x14ac:dyDescent="0.2">
      <c r="E123" s="1">
        <v>87</v>
      </c>
      <c r="F123" t="e">
        <f>IF(ISNUMBER(data!F123),data!F123,NA())</f>
        <v>#N/A</v>
      </c>
      <c r="G123" t="e">
        <f>IF(ISNUMBER(data!G123),data!G123,NA())</f>
        <v>#N/A</v>
      </c>
      <c r="H123" t="e">
        <f>IF(ISNUMBER(data!H123),data!H123,NA())</f>
        <v>#N/A</v>
      </c>
      <c r="I123" s="11" t="e">
        <f t="shared" si="28"/>
        <v>#N/A</v>
      </c>
      <c r="J123" s="11" t="e">
        <f t="shared" ca="1" si="29"/>
        <v>#N/A</v>
      </c>
      <c r="K123" s="45" t="e">
        <f t="shared" si="36"/>
        <v>#N/A</v>
      </c>
      <c r="L123" s="11" t="e">
        <f t="shared" ca="1" si="30"/>
        <v>#N/A</v>
      </c>
      <c r="U123" s="3" t="e">
        <f t="shared" ca="1" si="31"/>
        <v>#N/A</v>
      </c>
      <c r="V123" s="3" t="e">
        <f t="shared" ca="1" si="32"/>
        <v>#N/A</v>
      </c>
      <c r="W123" s="3"/>
      <c r="AA123" s="21">
        <v>57</v>
      </c>
      <c r="AB123" s="11">
        <f t="shared" ca="1" si="22"/>
        <v>-25.824413286206543</v>
      </c>
      <c r="AC123" s="11">
        <f t="shared" ca="1" si="23"/>
        <v>0.99360037691074854</v>
      </c>
      <c r="AD123" s="11" t="e">
        <f t="shared" ca="1" si="24"/>
        <v>#N/A</v>
      </c>
      <c r="AE123" s="11">
        <f t="shared" ca="1" si="37"/>
        <v>0.99360037691074854</v>
      </c>
      <c r="AF123" s="11">
        <f t="shared" ca="1" si="25"/>
        <v>0.99360037691074854</v>
      </c>
      <c r="AG123" s="11">
        <f t="shared" ca="1" si="26"/>
        <v>0</v>
      </c>
      <c r="AH123" s="11">
        <f t="shared" ca="1" si="33"/>
        <v>1.5330938538269498</v>
      </c>
      <c r="AI123" s="11" t="e">
        <f t="shared" ca="1" si="27"/>
        <v>#N/A</v>
      </c>
      <c r="AJ123" s="11">
        <f t="shared" ca="1" si="34"/>
        <v>1.5330938538269498</v>
      </c>
      <c r="AK123" s="11">
        <f t="shared" ca="1" si="35"/>
        <v>1.5330938538269498</v>
      </c>
    </row>
    <row r="124" spans="5:37" x14ac:dyDescent="0.2">
      <c r="E124" s="1">
        <v>88</v>
      </c>
      <c r="F124" t="e">
        <f>IF(ISNUMBER(data!F124),data!F124,NA())</f>
        <v>#N/A</v>
      </c>
      <c r="G124" t="e">
        <f>IF(ISNUMBER(data!G124),data!G124,NA())</f>
        <v>#N/A</v>
      </c>
      <c r="H124" t="e">
        <f>IF(ISNUMBER(data!H124),data!H124,NA())</f>
        <v>#N/A</v>
      </c>
      <c r="I124" s="11" t="e">
        <f t="shared" si="28"/>
        <v>#N/A</v>
      </c>
      <c r="J124" s="11" t="e">
        <f t="shared" ca="1" si="29"/>
        <v>#N/A</v>
      </c>
      <c r="K124" s="45" t="e">
        <f t="shared" si="36"/>
        <v>#N/A</v>
      </c>
      <c r="L124" s="11" t="e">
        <f t="shared" ca="1" si="30"/>
        <v>#N/A</v>
      </c>
      <c r="U124" s="3" t="e">
        <f t="shared" ca="1" si="31"/>
        <v>#N/A</v>
      </c>
      <c r="V124" s="3" t="e">
        <f t="shared" ca="1" si="32"/>
        <v>#N/A</v>
      </c>
      <c r="W124" s="3"/>
      <c r="AA124" s="21">
        <v>58</v>
      </c>
      <c r="AB124" s="11">
        <f t="shared" ca="1" si="22"/>
        <v>-27.343536674072794</v>
      </c>
      <c r="AC124" s="11">
        <f t="shared" ca="1" si="23"/>
        <v>0.97373379318038933</v>
      </c>
      <c r="AD124" s="11" t="e">
        <f t="shared" ca="1" si="24"/>
        <v>#N/A</v>
      </c>
      <c r="AE124" s="11">
        <f t="shared" ca="1" si="37"/>
        <v>0.97373379318038933</v>
      </c>
      <c r="AF124" s="11">
        <f t="shared" ca="1" si="25"/>
        <v>0.97373379318038933</v>
      </c>
      <c r="AG124" s="11">
        <f t="shared" ca="1" si="26"/>
        <v>0</v>
      </c>
      <c r="AH124" s="11">
        <f t="shared" ca="1" si="33"/>
        <v>1.5601616397453564</v>
      </c>
      <c r="AI124" s="11" t="e">
        <f t="shared" ca="1" si="27"/>
        <v>#N/A</v>
      </c>
      <c r="AJ124" s="11">
        <f t="shared" ca="1" si="34"/>
        <v>1.5601616397453564</v>
      </c>
      <c r="AK124" s="11">
        <f t="shared" ca="1" si="35"/>
        <v>1.5601616397453564</v>
      </c>
    </row>
    <row r="125" spans="5:37" x14ac:dyDescent="0.2">
      <c r="E125" s="1">
        <v>89</v>
      </c>
      <c r="F125" t="e">
        <f>IF(ISNUMBER(data!F125),data!F125,NA())</f>
        <v>#N/A</v>
      </c>
      <c r="G125" t="e">
        <f>IF(ISNUMBER(data!G125),data!G125,NA())</f>
        <v>#N/A</v>
      </c>
      <c r="H125" t="e">
        <f>IF(ISNUMBER(data!H125),data!H125,NA())</f>
        <v>#N/A</v>
      </c>
      <c r="I125" s="11" t="e">
        <f t="shared" si="28"/>
        <v>#N/A</v>
      </c>
      <c r="J125" s="11" t="e">
        <f t="shared" ca="1" si="29"/>
        <v>#N/A</v>
      </c>
      <c r="K125" s="45" t="e">
        <f t="shared" si="36"/>
        <v>#N/A</v>
      </c>
      <c r="L125" s="11" t="e">
        <f t="shared" ca="1" si="30"/>
        <v>#N/A</v>
      </c>
      <c r="U125" s="3" t="e">
        <f t="shared" ca="1" si="31"/>
        <v>#N/A</v>
      </c>
      <c r="V125" s="3" t="e">
        <f t="shared" ca="1" si="32"/>
        <v>#N/A</v>
      </c>
      <c r="W125" s="3"/>
      <c r="AA125" s="21">
        <v>59</v>
      </c>
      <c r="AB125" s="11">
        <f t="shared" ca="1" si="22"/>
        <v>-28.915381721963399</v>
      </c>
      <c r="AC125" s="11">
        <f t="shared" ca="1" si="23"/>
        <v>0.9530132498973416</v>
      </c>
      <c r="AD125" s="11" t="e">
        <f t="shared" ca="1" si="24"/>
        <v>#N/A</v>
      </c>
      <c r="AE125" s="11">
        <f t="shared" ca="1" si="37"/>
        <v>0.9530132498973416</v>
      </c>
      <c r="AF125" s="11">
        <f t="shared" ca="1" si="25"/>
        <v>0.9530132498973416</v>
      </c>
      <c r="AG125" s="11">
        <f t="shared" ca="1" si="26"/>
        <v>0</v>
      </c>
      <c r="AH125" s="11">
        <f t="shared" ca="1" si="33"/>
        <v>1.5865429874088459</v>
      </c>
      <c r="AI125" s="11" t="e">
        <f t="shared" ca="1" si="27"/>
        <v>#N/A</v>
      </c>
      <c r="AJ125" s="11">
        <f t="shared" ca="1" si="34"/>
        <v>1.5865429874088459</v>
      </c>
      <c r="AK125" s="11">
        <f t="shared" ca="1" si="35"/>
        <v>1.5865429874088459</v>
      </c>
    </row>
    <row r="126" spans="5:37" x14ac:dyDescent="0.2">
      <c r="E126" s="1">
        <v>90</v>
      </c>
      <c r="F126" t="e">
        <f>IF(ISNUMBER(data!F126),data!F126,NA())</f>
        <v>#N/A</v>
      </c>
      <c r="G126" t="e">
        <f>IF(ISNUMBER(data!G126),data!G126,NA())</f>
        <v>#N/A</v>
      </c>
      <c r="H126" t="e">
        <f>IF(ISNUMBER(data!H126),data!H126,NA())</f>
        <v>#N/A</v>
      </c>
      <c r="I126" s="11" t="e">
        <f t="shared" si="28"/>
        <v>#N/A</v>
      </c>
      <c r="J126" s="11" t="e">
        <f t="shared" ca="1" si="29"/>
        <v>#N/A</v>
      </c>
      <c r="K126" s="45" t="e">
        <f t="shared" si="36"/>
        <v>#N/A</v>
      </c>
      <c r="L126" s="11" t="e">
        <f t="shared" ca="1" si="30"/>
        <v>#N/A</v>
      </c>
      <c r="U126" s="3" t="e">
        <f t="shared" ca="1" si="31"/>
        <v>#N/A</v>
      </c>
      <c r="V126" s="3" t="e">
        <f t="shared" ca="1" si="32"/>
        <v>#N/A</v>
      </c>
      <c r="W126" s="3"/>
      <c r="AA126" s="21">
        <v>60</v>
      </c>
      <c r="AB126" s="11">
        <f t="shared" ca="1" si="22"/>
        <v>-30.540735126384362</v>
      </c>
      <c r="AC126" s="11">
        <f t="shared" ca="1" si="23"/>
        <v>0.93147568758500987</v>
      </c>
      <c r="AD126" s="11" t="e">
        <f t="shared" ca="1" si="24"/>
        <v>#N/A</v>
      </c>
      <c r="AE126" s="11">
        <f t="shared" ca="1" si="37"/>
        <v>0.93147568758500987</v>
      </c>
      <c r="AF126" s="11">
        <f t="shared" ca="1" si="25"/>
        <v>0.93147568758500987</v>
      </c>
      <c r="AG126" s="11">
        <f t="shared" ca="1" si="26"/>
        <v>0</v>
      </c>
      <c r="AH126" s="11">
        <f t="shared" ca="1" si="33"/>
        <v>1.6122246130143962</v>
      </c>
      <c r="AI126" s="11" t="e">
        <f t="shared" ca="1" si="27"/>
        <v>#N/A</v>
      </c>
      <c r="AJ126" s="11">
        <f t="shared" ca="1" si="34"/>
        <v>1.6122246130143962</v>
      </c>
      <c r="AK126" s="11">
        <f t="shared" ca="1" si="35"/>
        <v>1.6122246130143962</v>
      </c>
    </row>
    <row r="127" spans="5:37" x14ac:dyDescent="0.2">
      <c r="E127" s="1">
        <v>91</v>
      </c>
      <c r="F127" t="e">
        <f>IF(ISNUMBER(data!F127),data!F127,NA())</f>
        <v>#N/A</v>
      </c>
      <c r="G127" t="e">
        <f>IF(ISNUMBER(data!G127),data!G127,NA())</f>
        <v>#N/A</v>
      </c>
      <c r="H127" t="e">
        <f>IF(ISNUMBER(data!H127),data!H127,NA())</f>
        <v>#N/A</v>
      </c>
      <c r="I127" s="11" t="e">
        <f t="shared" si="28"/>
        <v>#N/A</v>
      </c>
      <c r="J127" s="11" t="e">
        <f t="shared" ca="1" si="29"/>
        <v>#N/A</v>
      </c>
      <c r="K127" s="45" t="e">
        <f t="shared" si="36"/>
        <v>#N/A</v>
      </c>
      <c r="L127" s="11" t="e">
        <f t="shared" ca="1" si="30"/>
        <v>#N/A</v>
      </c>
      <c r="U127" s="3" t="e">
        <f t="shared" ca="1" si="31"/>
        <v>#N/A</v>
      </c>
      <c r="V127" s="3" t="e">
        <f t="shared" ca="1" si="32"/>
        <v>#N/A</v>
      </c>
      <c r="W127" s="3"/>
      <c r="AA127" s="21">
        <v>61</v>
      </c>
      <c r="AB127" s="11">
        <f t="shared" ca="1" si="22"/>
        <v>-32.220382130592554</v>
      </c>
      <c r="AC127" s="11">
        <f t="shared" ca="1" si="23"/>
        <v>0.90915751167473269</v>
      </c>
      <c r="AD127" s="11" t="e">
        <f t="shared" ca="1" si="24"/>
        <v>#N/A</v>
      </c>
      <c r="AE127" s="11">
        <f t="shared" ca="1" si="37"/>
        <v>0.90915751167473269</v>
      </c>
      <c r="AF127" s="11">
        <f t="shared" ca="1" si="25"/>
        <v>0.90915751167473269</v>
      </c>
      <c r="AG127" s="11">
        <f t="shared" ca="1" si="26"/>
        <v>0</v>
      </c>
      <c r="AH127" s="11">
        <f t="shared" ca="1" si="33"/>
        <v>1.6371935850901127</v>
      </c>
      <c r="AI127" s="11" t="e">
        <f t="shared" ca="1" si="27"/>
        <v>#N/A</v>
      </c>
      <c r="AJ127" s="11">
        <f t="shared" ca="1" si="34"/>
        <v>1.6371935850901127</v>
      </c>
      <c r="AK127" s="11">
        <f t="shared" ca="1" si="35"/>
        <v>1.6371935850901127</v>
      </c>
    </row>
    <row r="128" spans="5:37" x14ac:dyDescent="0.2">
      <c r="E128" s="1">
        <v>92</v>
      </c>
      <c r="F128" t="e">
        <f>IF(ISNUMBER(data!F128),data!F128,NA())</f>
        <v>#N/A</v>
      </c>
      <c r="G128" t="e">
        <f>IF(ISNUMBER(data!G128),data!G128,NA())</f>
        <v>#N/A</v>
      </c>
      <c r="H128" t="e">
        <f>IF(ISNUMBER(data!H128),data!H128,NA())</f>
        <v>#N/A</v>
      </c>
      <c r="I128" s="11" t="e">
        <f t="shared" si="28"/>
        <v>#N/A</v>
      </c>
      <c r="J128" s="11" t="e">
        <f t="shared" ca="1" si="29"/>
        <v>#N/A</v>
      </c>
      <c r="K128" s="45" t="e">
        <f t="shared" si="36"/>
        <v>#N/A</v>
      </c>
      <c r="L128" s="11" t="e">
        <f t="shared" ca="1" si="30"/>
        <v>#N/A</v>
      </c>
      <c r="U128" s="3" t="e">
        <f t="shared" ca="1" si="31"/>
        <v>#N/A</v>
      </c>
      <c r="V128" s="3" t="e">
        <f t="shared" ca="1" si="32"/>
        <v>#N/A</v>
      </c>
      <c r="W128" s="3"/>
      <c r="AA128" s="21">
        <v>62</v>
      </c>
      <c r="AB128" s="11">
        <f t="shared" ca="1" si="22"/>
        <v>-33.955106550861622</v>
      </c>
      <c r="AC128" s="11">
        <f t="shared" ca="1" si="23"/>
        <v>0.8860945838942621</v>
      </c>
      <c r="AD128" s="11" t="e">
        <f t="shared" ca="1" si="24"/>
        <v>#N/A</v>
      </c>
      <c r="AE128" s="11">
        <f t="shared" ca="1" si="37"/>
        <v>0.8860945838942621</v>
      </c>
      <c r="AF128" s="11">
        <f t="shared" ca="1" si="25"/>
        <v>0.8860945838942621</v>
      </c>
      <c r="AG128" s="11">
        <f t="shared" ca="1" si="26"/>
        <v>0</v>
      </c>
      <c r="AH128" s="11">
        <f t="shared" ca="1" si="33"/>
        <v>1.6614373310066146</v>
      </c>
      <c r="AI128" s="11" t="e">
        <f t="shared" ca="1" si="27"/>
        <v>#N/A</v>
      </c>
      <c r="AJ128" s="11">
        <f t="shared" ca="1" si="34"/>
        <v>1.6614373310066146</v>
      </c>
      <c r="AK128" s="11">
        <f t="shared" ca="1" si="35"/>
        <v>1.6614373310066146</v>
      </c>
    </row>
    <row r="129" spans="5:37" x14ac:dyDescent="0.2">
      <c r="E129" s="1">
        <v>93</v>
      </c>
      <c r="F129" t="e">
        <f>IF(ISNUMBER(data!F129),data!F129,NA())</f>
        <v>#N/A</v>
      </c>
      <c r="G129" t="e">
        <f>IF(ISNUMBER(data!G129),data!G129,NA())</f>
        <v>#N/A</v>
      </c>
      <c r="H129" t="e">
        <f>IF(ISNUMBER(data!H129),data!H129,NA())</f>
        <v>#N/A</v>
      </c>
      <c r="I129" s="11" t="e">
        <f t="shared" si="28"/>
        <v>#N/A</v>
      </c>
      <c r="J129" s="11" t="e">
        <f t="shared" ca="1" si="29"/>
        <v>#N/A</v>
      </c>
      <c r="K129" s="45" t="e">
        <f t="shared" si="36"/>
        <v>#N/A</v>
      </c>
      <c r="L129" s="11" t="e">
        <f t="shared" ca="1" si="30"/>
        <v>#N/A</v>
      </c>
      <c r="U129" s="3" t="e">
        <f t="shared" ca="1" si="31"/>
        <v>#N/A</v>
      </c>
      <c r="V129" s="3" t="e">
        <f t="shared" ca="1" si="32"/>
        <v>#N/A</v>
      </c>
      <c r="W129" s="3"/>
      <c r="AA129" s="21">
        <v>63</v>
      </c>
      <c r="AB129" s="11">
        <f t="shared" ca="1" si="22"/>
        <v>-35.745690801860462</v>
      </c>
      <c r="AC129" s="11">
        <f t="shared" ca="1" si="23"/>
        <v>0.86232221323725156</v>
      </c>
      <c r="AD129" s="11" t="e">
        <f t="shared" ca="1" si="24"/>
        <v>#N/A</v>
      </c>
      <c r="AE129" s="11">
        <f t="shared" ca="1" si="37"/>
        <v>0.86232221323725156</v>
      </c>
      <c r="AF129" s="11">
        <f t="shared" ca="1" si="25"/>
        <v>0.86232221323725156</v>
      </c>
      <c r="AG129" s="11">
        <f t="shared" ca="1" si="26"/>
        <v>0</v>
      </c>
      <c r="AH129" s="11">
        <f t="shared" ca="1" si="33"/>
        <v>1.6849436433077338</v>
      </c>
      <c r="AI129" s="11" t="e">
        <f t="shared" ca="1" si="27"/>
        <v>#N/A</v>
      </c>
      <c r="AJ129" s="11">
        <f t="shared" ca="1" si="34"/>
        <v>1.6849436433077338</v>
      </c>
      <c r="AK129" s="11">
        <f t="shared" ca="1" si="35"/>
        <v>1.6849436433077338</v>
      </c>
    </row>
    <row r="130" spans="5:37" x14ac:dyDescent="0.2">
      <c r="E130" s="1">
        <v>94</v>
      </c>
      <c r="F130" t="e">
        <f>IF(ISNUMBER(data!F130),data!F130,NA())</f>
        <v>#N/A</v>
      </c>
      <c r="G130" t="e">
        <f>IF(ISNUMBER(data!G130),data!G130,NA())</f>
        <v>#N/A</v>
      </c>
      <c r="H130" t="e">
        <f>IF(ISNUMBER(data!H130),data!H130,NA())</f>
        <v>#N/A</v>
      </c>
      <c r="I130" s="11" t="e">
        <f t="shared" si="28"/>
        <v>#N/A</v>
      </c>
      <c r="J130" s="11" t="e">
        <f t="shared" ca="1" si="29"/>
        <v>#N/A</v>
      </c>
      <c r="K130" s="45" t="e">
        <f t="shared" si="36"/>
        <v>#N/A</v>
      </c>
      <c r="L130" s="11" t="e">
        <f t="shared" ca="1" si="30"/>
        <v>#N/A</v>
      </c>
      <c r="U130" s="3" t="e">
        <f t="shared" ca="1" si="31"/>
        <v>#N/A</v>
      </c>
      <c r="V130" s="3" t="e">
        <f t="shared" ca="1" si="32"/>
        <v>#N/A</v>
      </c>
      <c r="W130" s="3"/>
      <c r="AA130" s="21">
        <v>64</v>
      </c>
      <c r="AB130" s="11">
        <f t="shared" ca="1" si="22"/>
        <v>-37.592915921187952</v>
      </c>
      <c r="AC130" s="11">
        <f t="shared" ca="1" si="23"/>
        <v>0.83787514647880335</v>
      </c>
      <c r="AD130" s="11" t="e">
        <f t="shared" ca="1" si="24"/>
        <v>#N/A</v>
      </c>
      <c r="AE130" s="11">
        <f t="shared" ca="1" si="37"/>
        <v>0.83787514647880335</v>
      </c>
      <c r="AF130" s="11">
        <f t="shared" ca="1" si="25"/>
        <v>0.83787514647880335</v>
      </c>
      <c r="AG130" s="11">
        <f t="shared" ca="1" si="26"/>
        <v>0</v>
      </c>
      <c r="AH130" s="11">
        <f t="shared" ca="1" si="33"/>
        <v>1.707700685857334</v>
      </c>
      <c r="AI130" s="11" t="e">
        <f t="shared" ca="1" si="27"/>
        <v>#N/A</v>
      </c>
      <c r="AJ130" s="11">
        <f t="shared" ca="1" si="34"/>
        <v>1.707700685857334</v>
      </c>
      <c r="AK130" s="11">
        <f t="shared" ca="1" si="35"/>
        <v>1.707700685857334</v>
      </c>
    </row>
    <row r="131" spans="5:37" x14ac:dyDescent="0.2">
      <c r="E131" s="1">
        <v>95</v>
      </c>
      <c r="F131" t="e">
        <f>IF(ISNUMBER(data!F131),data!F131,NA())</f>
        <v>#N/A</v>
      </c>
      <c r="G131" t="e">
        <f>IF(ISNUMBER(data!G131),data!G131,NA())</f>
        <v>#N/A</v>
      </c>
      <c r="H131" t="e">
        <f>IF(ISNUMBER(data!H131),data!H131,NA())</f>
        <v>#N/A</v>
      </c>
      <c r="I131" s="11" t="e">
        <f t="shared" si="28"/>
        <v>#N/A</v>
      </c>
      <c r="J131" s="11" t="e">
        <f t="shared" ca="1" si="29"/>
        <v>#N/A</v>
      </c>
      <c r="K131" s="45" t="e">
        <f t="shared" si="36"/>
        <v>#N/A</v>
      </c>
      <c r="L131" s="11" t="e">
        <f t="shared" ca="1" si="30"/>
        <v>#N/A</v>
      </c>
      <c r="U131" s="3" t="e">
        <f t="shared" ca="1" si="31"/>
        <v>#N/A</v>
      </c>
      <c r="V131" s="3" t="e">
        <f t="shared" ca="1" si="32"/>
        <v>#N/A</v>
      </c>
      <c r="W131" s="3"/>
      <c r="AA131" s="21">
        <v>65</v>
      </c>
      <c r="AB131" s="11">
        <f t="shared" ca="1" si="22"/>
        <v>-39.497561593104571</v>
      </c>
      <c r="AC131" s="11">
        <f t="shared" ca="1" si="23"/>
        <v>0.81278755819792381</v>
      </c>
      <c r="AD131" s="11" t="e">
        <f t="shared" ca="1" si="24"/>
        <v>#N/A</v>
      </c>
      <c r="AE131" s="11">
        <f t="shared" ca="1" si="37"/>
        <v>0.81278755819792381</v>
      </c>
      <c r="AF131" s="11">
        <f t="shared" ca="1" si="25"/>
        <v>0.81278755819792381</v>
      </c>
      <c r="AG131" s="11">
        <f t="shared" ca="1" si="26"/>
        <v>0</v>
      </c>
      <c r="AH131" s="11">
        <f t="shared" ca="1" si="33"/>
        <v>1.7296969997991631</v>
      </c>
      <c r="AI131" s="11" t="e">
        <f t="shared" ca="1" si="27"/>
        <v>#N/A</v>
      </c>
      <c r="AJ131" s="11">
        <f t="shared" ca="1" si="34"/>
        <v>1.7296969997991631</v>
      </c>
      <c r="AK131" s="11">
        <f t="shared" ca="1" si="35"/>
        <v>1.7296969997991631</v>
      </c>
    </row>
    <row r="132" spans="5:37" x14ac:dyDescent="0.2">
      <c r="E132" s="1">
        <v>96</v>
      </c>
      <c r="F132" t="e">
        <f>IF(ISNUMBER(data!F132),data!F132,NA())</f>
        <v>#N/A</v>
      </c>
      <c r="G132" t="e">
        <f>IF(ISNUMBER(data!G132),data!G132,NA())</f>
        <v>#N/A</v>
      </c>
      <c r="H132" t="e">
        <f>IF(ISNUMBER(data!H132),data!H132,NA())</f>
        <v>#N/A</v>
      </c>
      <c r="I132" s="11" t="e">
        <f t="shared" si="28"/>
        <v>#N/A</v>
      </c>
      <c r="J132" s="11" t="e">
        <f t="shared" ca="1" si="29"/>
        <v>#N/A</v>
      </c>
      <c r="K132" s="45" t="e">
        <f t="shared" si="36"/>
        <v>#N/A</v>
      </c>
      <c r="L132" s="11" t="e">
        <f t="shared" ca="1" si="30"/>
        <v>#N/A</v>
      </c>
      <c r="U132" s="3" t="e">
        <f t="shared" ca="1" si="31"/>
        <v>#N/A</v>
      </c>
      <c r="V132" s="3" t="e">
        <f t="shared" ca="1" si="32"/>
        <v>#N/A</v>
      </c>
      <c r="W132" s="3"/>
      <c r="AA132" s="21">
        <v>66</v>
      </c>
      <c r="AB132" s="11">
        <f t="shared" ca="1" si="22"/>
        <v>-41.460406171498676</v>
      </c>
      <c r="AC132" s="11">
        <f t="shared" ca="1" si="23"/>
        <v>0.78709304026283711</v>
      </c>
      <c r="AD132" s="11" t="e">
        <f t="shared" ca="1" si="24"/>
        <v>#N/A</v>
      </c>
      <c r="AE132" s="11">
        <f t="shared" ca="1" si="37"/>
        <v>0.78709304026283711</v>
      </c>
      <c r="AF132" s="11">
        <f t="shared" ca="1" si="25"/>
        <v>0.78709304026283711</v>
      </c>
      <c r="AG132" s="11">
        <f t="shared" ref="AG132:AG163" ca="1" si="38">IF(AND(2*$Q$28-$Q$31&lt;=AA132,AA132&lt;=$Q$31),$Q$33+($Q$30-$Q$33)*POWER(ABS((AA132-$Q$28)/($Q$31-$Q$28)),$Q$34),0)</f>
        <v>0</v>
      </c>
      <c r="AH132" s="11">
        <f t="shared" ca="1" si="33"/>
        <v>1.7509215093267334</v>
      </c>
      <c r="AI132" s="11" t="e">
        <f t="shared" ca="1" si="27"/>
        <v>#N/A</v>
      </c>
      <c r="AJ132" s="11">
        <f t="shared" ca="1" si="34"/>
        <v>1.7509215093267334</v>
      </c>
      <c r="AK132" s="11">
        <f t="shared" ca="1" si="35"/>
        <v>1.7509215093267334</v>
      </c>
    </row>
    <row r="133" spans="5:37" x14ac:dyDescent="0.2">
      <c r="E133" s="1">
        <v>97</v>
      </c>
      <c r="F133" t="e">
        <f>IF(ISNUMBER(data!F133),data!F133,NA())</f>
        <v>#N/A</v>
      </c>
      <c r="G133" t="e">
        <f>IF(ISNUMBER(data!G133),data!G133,NA())</f>
        <v>#N/A</v>
      </c>
      <c r="H133" t="e">
        <f>IF(ISNUMBER(data!H133),data!H133,NA())</f>
        <v>#N/A</v>
      </c>
      <c r="I133" s="11" t="e">
        <f t="shared" si="28"/>
        <v>#N/A</v>
      </c>
      <c r="J133" s="11" t="e">
        <f t="shared" ca="1" si="29"/>
        <v>#N/A</v>
      </c>
      <c r="K133" s="45" t="e">
        <f t="shared" si="36"/>
        <v>#N/A</v>
      </c>
      <c r="L133" s="11" t="e">
        <f t="shared" ca="1" si="30"/>
        <v>#N/A</v>
      </c>
      <c r="U133" s="3" t="e">
        <f t="shared" ca="1" si="31"/>
        <v>#N/A</v>
      </c>
      <c r="V133" s="3" t="e">
        <f t="shared" ca="1" si="32"/>
        <v>#N/A</v>
      </c>
      <c r="W133" s="3"/>
      <c r="AA133" s="21">
        <v>67</v>
      </c>
      <c r="AB133" s="11">
        <f t="shared" ca="1" si="22"/>
        <v>-43.482226702123874</v>
      </c>
      <c r="AC133" s="11">
        <f t="shared" ca="1" si="23"/>
        <v>0.76082459072941278</v>
      </c>
      <c r="AD133" s="11" t="e">
        <f t="shared" ca="1" si="24"/>
        <v>#N/A</v>
      </c>
      <c r="AE133" s="11">
        <f t="shared" ca="1" si="37"/>
        <v>0.76082459072941278</v>
      </c>
      <c r="AF133" s="11">
        <f t="shared" ca="1" si="25"/>
        <v>0.76082459072941278</v>
      </c>
      <c r="AG133" s="11">
        <f t="shared" ca="1" si="38"/>
        <v>0</v>
      </c>
      <c r="AH133" s="11">
        <f t="shared" ca="1" si="33"/>
        <v>1.7713635272603212</v>
      </c>
      <c r="AI133" s="11" t="e">
        <f t="shared" ca="1" si="27"/>
        <v>#N/A</v>
      </c>
      <c r="AJ133" s="11">
        <f t="shared" ca="1" si="34"/>
        <v>1.7713635272603212</v>
      </c>
      <c r="AK133" s="11">
        <f t="shared" ca="1" si="35"/>
        <v>1.7713635272603212</v>
      </c>
    </row>
    <row r="134" spans="5:37" s="5" customFormat="1" x14ac:dyDescent="0.2">
      <c r="E134" s="1">
        <v>98</v>
      </c>
      <c r="F134" t="e">
        <f>IF(ISNUMBER(data!F134),data!F134,NA())</f>
        <v>#N/A</v>
      </c>
      <c r="G134" t="e">
        <f>IF(ISNUMBER(data!G134),data!G134,NA())</f>
        <v>#N/A</v>
      </c>
      <c r="H134" t="e">
        <f>IF(ISNUMBER(data!H134),data!H134,NA())</f>
        <v>#N/A</v>
      </c>
      <c r="I134" s="11" t="e">
        <f t="shared" si="28"/>
        <v>#N/A</v>
      </c>
      <c r="J134" s="11" t="e">
        <f t="shared" ca="1" si="29"/>
        <v>#N/A</v>
      </c>
      <c r="K134" s="45" t="e">
        <f t="shared" si="36"/>
        <v>#N/A</v>
      </c>
      <c r="L134" s="11" t="e">
        <f t="shared" ca="1" si="30"/>
        <v>#N/A</v>
      </c>
      <c r="M134"/>
      <c r="N134"/>
      <c r="O134"/>
      <c r="P134"/>
      <c r="Q134"/>
      <c r="R134"/>
      <c r="S134"/>
      <c r="T134"/>
      <c r="U134" s="3" t="e">
        <f t="shared" ca="1" si="31"/>
        <v>#N/A</v>
      </c>
      <c r="V134" s="3" t="e">
        <f t="shared" ca="1" si="32"/>
        <v>#N/A</v>
      </c>
      <c r="W134" s="3"/>
      <c r="X134" s="1"/>
      <c r="Y134" s="1"/>
      <c r="Z134"/>
      <c r="AA134" s="44">
        <v>68</v>
      </c>
      <c r="AB134" s="45">
        <f t="shared" ca="1" si="22"/>
        <v>-45.563798944140657</v>
      </c>
      <c r="AC134" s="45">
        <f t="shared" ca="1" si="23"/>
        <v>0.73401460209627489</v>
      </c>
      <c r="AD134" s="45" t="e">
        <f t="shared" ca="1" si="24"/>
        <v>#N/A</v>
      </c>
      <c r="AE134" s="45">
        <f t="shared" ca="1" si="37"/>
        <v>0.73401460209627489</v>
      </c>
      <c r="AF134" s="45">
        <f t="shared" ca="1" si="25"/>
        <v>0.73401460209627489</v>
      </c>
      <c r="AG134" s="11">
        <f t="shared" ca="1" si="38"/>
        <v>0</v>
      </c>
      <c r="AH134" s="45">
        <f t="shared" ca="1" si="33"/>
        <v>1.7910127604282862</v>
      </c>
      <c r="AI134" s="45" t="e">
        <f t="shared" ca="1" si="27"/>
        <v>#N/A</v>
      </c>
      <c r="AJ134" s="45">
        <f t="shared" ca="1" si="34"/>
        <v>1.7910127604282862</v>
      </c>
      <c r="AK134" s="45">
        <f t="shared" ca="1" si="35"/>
        <v>1.7910127604282862</v>
      </c>
    </row>
    <row r="135" spans="5:37" s="5" customFormat="1" x14ac:dyDescent="0.2">
      <c r="E135" s="1">
        <v>99</v>
      </c>
      <c r="F135" t="e">
        <f>IF(ISNUMBER(data!F135),data!F135,NA())</f>
        <v>#N/A</v>
      </c>
      <c r="G135" t="e">
        <f>IF(ISNUMBER(data!G135),data!G135,NA())</f>
        <v>#N/A</v>
      </c>
      <c r="H135" t="e">
        <f>IF(ISNUMBER(data!H135),data!H135,NA())</f>
        <v>#N/A</v>
      </c>
      <c r="I135" s="11" t="e">
        <f t="shared" si="28"/>
        <v>#N/A</v>
      </c>
      <c r="J135" s="11" t="e">
        <f t="shared" ca="1" si="29"/>
        <v>#N/A</v>
      </c>
      <c r="K135" s="45" t="e">
        <f t="shared" si="36"/>
        <v>#N/A</v>
      </c>
      <c r="L135" s="11" t="e">
        <f t="shared" ca="1" si="30"/>
        <v>#N/A</v>
      </c>
      <c r="M135"/>
      <c r="N135"/>
      <c r="O135"/>
      <c r="P135"/>
      <c r="Q135"/>
      <c r="R135"/>
      <c r="S135"/>
      <c r="T135"/>
      <c r="U135" s="3" t="e">
        <f t="shared" ca="1" si="31"/>
        <v>#N/A</v>
      </c>
      <c r="V135" s="3" t="e">
        <f t="shared" ca="1" si="32"/>
        <v>#N/A</v>
      </c>
      <c r="W135" s="3"/>
      <c r="X135" s="1"/>
      <c r="Y135" s="1"/>
      <c r="Z135"/>
      <c r="AA135" s="21">
        <v>69</v>
      </c>
      <c r="AB135" s="11">
        <f t="shared" ca="1" si="22"/>
        <v>-47.705897390993968</v>
      </c>
      <c r="AC135" s="11">
        <f t="shared" ca="1" si="23"/>
        <v>0.70669484885227241</v>
      </c>
      <c r="AD135" s="11" t="e">
        <f t="shared" ca="1" si="24"/>
        <v>#N/A</v>
      </c>
      <c r="AE135" s="11">
        <f t="shared" ca="1" si="37"/>
        <v>0.70669484885227241</v>
      </c>
      <c r="AF135" s="11">
        <f t="shared" ca="1" si="25"/>
        <v>0.70669484885227241</v>
      </c>
      <c r="AG135" s="11">
        <f t="shared" ca="1" si="38"/>
        <v>0</v>
      </c>
      <c r="AH135" s="11">
        <f t="shared" ca="1" si="33"/>
        <v>1.8098593148499917</v>
      </c>
      <c r="AI135" s="11" t="e">
        <f t="shared" ca="1" si="27"/>
        <v>#N/A</v>
      </c>
      <c r="AJ135" s="11">
        <f t="shared" ca="1" si="34"/>
        <v>1.8098593148499917</v>
      </c>
      <c r="AK135" s="11">
        <f t="shared" ca="1" si="35"/>
        <v>1.8098593148499917</v>
      </c>
    </row>
    <row r="136" spans="5:37" x14ac:dyDescent="0.2">
      <c r="E136" s="3">
        <v>100</v>
      </c>
      <c r="F136" t="e">
        <f>IF(ISNUMBER(data!F136),data!F136,NA())</f>
        <v>#N/A</v>
      </c>
      <c r="G136" t="e">
        <f>IF(ISNUMBER(data!G136),data!G136,NA())</f>
        <v>#N/A</v>
      </c>
      <c r="H136" t="e">
        <f>IF(ISNUMBER(data!H136),data!H136,NA())</f>
        <v>#N/A</v>
      </c>
      <c r="I136" s="45" t="e">
        <f t="shared" si="28"/>
        <v>#N/A</v>
      </c>
      <c r="J136" s="45" t="e">
        <f t="shared" ca="1" si="29"/>
        <v>#N/A</v>
      </c>
      <c r="K136" s="45" t="e">
        <f t="shared" si="36"/>
        <v>#N/A</v>
      </c>
      <c r="L136" s="45" t="e">
        <f t="shared" ca="1" si="30"/>
        <v>#N/A</v>
      </c>
      <c r="M136" s="5"/>
      <c r="N136" s="5"/>
      <c r="O136" s="5"/>
      <c r="P136" s="5"/>
      <c r="Q136" s="5"/>
      <c r="R136" s="5"/>
      <c r="S136" s="5"/>
      <c r="T136" s="5"/>
      <c r="U136" s="3" t="e">
        <f t="shared" ca="1" si="31"/>
        <v>#N/A</v>
      </c>
      <c r="V136" s="3" t="e">
        <f t="shared" ca="1" si="32"/>
        <v>#N/A</v>
      </c>
      <c r="W136" s="3"/>
      <c r="X136" s="3"/>
      <c r="Y136" s="3"/>
      <c r="Z136" s="5"/>
      <c r="AA136" s="44">
        <v>70</v>
      </c>
      <c r="AB136" s="45">
        <f t="shared" ca="1" si="22"/>
        <v>-49.909295290656573</v>
      </c>
      <c r="AC136" s="45">
        <f t="shared" ca="1" si="23"/>
        <v>0.67889647424263244</v>
      </c>
      <c r="AD136" s="11" t="e">
        <f t="shared" ca="1" si="24"/>
        <v>#N/A</v>
      </c>
      <c r="AE136" s="11">
        <f t="shared" ca="1" si="37"/>
        <v>0.67889647424263244</v>
      </c>
      <c r="AF136" s="45">
        <f t="shared" ca="1" si="25"/>
        <v>0.67889647424263244</v>
      </c>
      <c r="AG136" s="11">
        <f t="shared" ca="1" si="38"/>
        <v>0</v>
      </c>
      <c r="AH136" s="11">
        <f t="shared" ca="1" si="33"/>
        <v>1.8278937007177234</v>
      </c>
      <c r="AI136" s="11" t="e">
        <f t="shared" ca="1" si="27"/>
        <v>#N/A</v>
      </c>
      <c r="AJ136" s="11">
        <f t="shared" ca="1" si="34"/>
        <v>1.8278937007177234</v>
      </c>
      <c r="AK136" s="11">
        <f t="shared" ca="1" si="35"/>
        <v>1.8278937007177234</v>
      </c>
    </row>
    <row r="137" spans="5:37" x14ac:dyDescent="0.2">
      <c r="E137" s="3"/>
      <c r="F137" s="3"/>
      <c r="G137" s="3"/>
      <c r="H137" s="3"/>
      <c r="J137" s="3"/>
      <c r="K137" s="3"/>
      <c r="L137" s="5"/>
      <c r="M137" s="5"/>
      <c r="N137" s="5"/>
      <c r="O137" s="5"/>
      <c r="P137" s="5"/>
      <c r="Q137" s="5"/>
      <c r="R137" s="5"/>
      <c r="S137" s="5"/>
      <c r="T137" s="5"/>
      <c r="U137" s="3"/>
      <c r="V137" s="3"/>
      <c r="W137" s="3"/>
      <c r="X137" s="3"/>
      <c r="Y137" s="3"/>
      <c r="Z137" s="5"/>
      <c r="AA137" s="21">
        <v>71</v>
      </c>
      <c r="AB137" s="11">
        <f t="shared" ca="1" si="22"/>
        <v>-52.174764665266224</v>
      </c>
      <c r="AC137" s="11">
        <f t="shared" ca="1" si="23"/>
        <v>0.65064997616892783</v>
      </c>
      <c r="AD137" s="11" t="e">
        <f t="shared" ca="1" si="24"/>
        <v>#N/A</v>
      </c>
      <c r="AE137" s="11">
        <f t="shared" ca="1" si="37"/>
        <v>0.65064997616892783</v>
      </c>
      <c r="AF137" s="11">
        <f t="shared" ca="1" si="25"/>
        <v>0.65064997616892783</v>
      </c>
      <c r="AG137" s="11">
        <f t="shared" ca="1" si="38"/>
        <v>0</v>
      </c>
      <c r="AH137" s="11">
        <f t="shared" ca="1" si="33"/>
        <v>1.8451068371750905</v>
      </c>
      <c r="AI137" s="11" t="e">
        <f t="shared" ca="1" si="27"/>
        <v>#N/A</v>
      </c>
      <c r="AJ137" s="11">
        <f t="shared" ca="1" si="34"/>
        <v>1.8451068371750905</v>
      </c>
      <c r="AK137" s="11">
        <f t="shared" ca="1" si="35"/>
        <v>1.8451068371750905</v>
      </c>
    </row>
    <row r="138" spans="5:37" x14ac:dyDescent="0.2">
      <c r="AA138" s="21">
        <v>72</v>
      </c>
      <c r="AB138" s="11">
        <f t="shared" ca="1" si="22"/>
        <v>-54.503076330182594</v>
      </c>
      <c r="AC138" s="11">
        <f t="shared" ca="1" si="23"/>
        <v>0.62198519212452108</v>
      </c>
      <c r="AD138" s="11" t="e">
        <f t="shared" ca="1" si="24"/>
        <v>#N/A</v>
      </c>
      <c r="AE138" s="11">
        <f t="shared" ca="1" si="37"/>
        <v>0.62198519212452108</v>
      </c>
      <c r="AF138" s="11">
        <f t="shared" ca="1" si="25"/>
        <v>0.62198519212452108</v>
      </c>
      <c r="AG138" s="11">
        <f t="shared" ca="1" si="38"/>
        <v>0</v>
      </c>
      <c r="AH138" s="11">
        <f t="shared" ca="1" si="33"/>
        <v>1.8614900568895139</v>
      </c>
      <c r="AI138" s="11" t="e">
        <f t="shared" ca="1" si="27"/>
        <v>#N/A</v>
      </c>
      <c r="AJ138" s="11">
        <f t="shared" ca="1" si="34"/>
        <v>1.8614900568895139</v>
      </c>
      <c r="AK138" s="11">
        <f t="shared" ca="1" si="35"/>
        <v>1.8614900568895139</v>
      </c>
    </row>
    <row r="139" spans="5:37" x14ac:dyDescent="0.2">
      <c r="AA139" s="21">
        <v>73</v>
      </c>
      <c r="AB139" s="11">
        <f t="shared" ca="1" si="22"/>
        <v>-56.894999912489489</v>
      </c>
      <c r="AC139" s="11">
        <f t="shared" ca="1" si="23"/>
        <v>0.59293128305080445</v>
      </c>
      <c r="AD139" s="11" t="e">
        <f t="shared" ca="1" si="24"/>
        <v>#N/A</v>
      </c>
      <c r="AE139" s="11">
        <f t="shared" ca="1" si="37"/>
        <v>0.59293128305080445</v>
      </c>
      <c r="AF139" s="11">
        <f t="shared" ca="1" si="25"/>
        <v>0.59293128305080445</v>
      </c>
      <c r="AG139" s="11">
        <f t="shared" ca="1" si="38"/>
        <v>0</v>
      </c>
      <c r="AH139" s="11">
        <f t="shared" ca="1" si="33"/>
        <v>1.8770351104164871</v>
      </c>
      <c r="AI139" s="11" t="e">
        <f t="shared" ca="1" si="27"/>
        <v>#N/A</v>
      </c>
      <c r="AJ139" s="11">
        <f t="shared" ca="1" si="34"/>
        <v>1.8770351104164871</v>
      </c>
      <c r="AK139" s="11">
        <f t="shared" ca="1" si="35"/>
        <v>1.8770351104164871</v>
      </c>
    </row>
    <row r="140" spans="5:37" x14ac:dyDescent="0.2">
      <c r="AA140" s="21">
        <v>74</v>
      </c>
      <c r="AB140" s="11">
        <f t="shared" ca="1" si="22"/>
        <v>-59.351303868965694</v>
      </c>
      <c r="AC140" s="11">
        <f t="shared" ca="1" si="23"/>
        <v>0.56351671597953534</v>
      </c>
      <c r="AD140" s="11" t="e">
        <f t="shared" ca="1" si="24"/>
        <v>#N/A</v>
      </c>
      <c r="AE140" s="11">
        <f t="shared" ca="1" si="37"/>
        <v>0.56351671597953534</v>
      </c>
      <c r="AF140" s="11">
        <f t="shared" ca="1" si="25"/>
        <v>0.56351671597953534</v>
      </c>
      <c r="AG140" s="11">
        <f t="shared" ca="1" si="38"/>
        <v>0</v>
      </c>
      <c r="AH140" s="11">
        <f t="shared" ca="1" si="33"/>
        <v>1.8917341703534198</v>
      </c>
      <c r="AI140" s="11" t="e">
        <f t="shared" ca="1" si="27"/>
        <v>#N/A</v>
      </c>
      <c r="AJ140" s="11">
        <f t="shared" ca="1" si="34"/>
        <v>1.8917341703534198</v>
      </c>
      <c r="AK140" s="11">
        <f t="shared" ca="1" si="35"/>
        <v>1.8917341703534198</v>
      </c>
    </row>
    <row r="141" spans="5:37" x14ac:dyDescent="0.2">
      <c r="AA141" s="21">
        <v>75</v>
      </c>
      <c r="AB141" s="11">
        <f t="shared" ca="1" si="22"/>
        <v>-61.872755503545811</v>
      </c>
      <c r="AC141" s="11">
        <f t="shared" ca="1" si="23"/>
        <v>0.53376924530183911</v>
      </c>
      <c r="AD141" s="11" t="e">
        <f t="shared" ca="1" si="24"/>
        <v>#N/A</v>
      </c>
      <c r="AE141" s="11">
        <f t="shared" ca="1" si="37"/>
        <v>0.53376924530183911</v>
      </c>
      <c r="AF141" s="11">
        <f t="shared" ca="1" si="25"/>
        <v>0.53376924530183911</v>
      </c>
      <c r="AG141" s="11">
        <f t="shared" ca="1" si="38"/>
        <v>0</v>
      </c>
      <c r="AH141" s="11">
        <f t="shared" ca="1" si="33"/>
        <v>1.9055798352809723</v>
      </c>
      <c r="AI141" s="11" t="e">
        <f t="shared" ca="1" si="27"/>
        <v>#N/A</v>
      </c>
      <c r="AJ141" s="11">
        <f t="shared" ca="1" si="34"/>
        <v>1.9055798352809723</v>
      </c>
      <c r="AK141" s="11">
        <f t="shared" ca="1" si="35"/>
        <v>1.9055798352809723</v>
      </c>
    </row>
    <row r="142" spans="5:37" x14ac:dyDescent="0.2">
      <c r="AA142" s="21">
        <v>76</v>
      </c>
      <c r="AB142" s="11">
        <f t="shared" ca="1" si="22"/>
        <v>-64.460120984293525</v>
      </c>
      <c r="AC142" s="11">
        <f t="shared" ca="1" si="23"/>
        <v>0.50371589247354531</v>
      </c>
      <c r="AD142" s="11" t="e">
        <f t="shared" ca="1" si="24"/>
        <v>#N/A</v>
      </c>
      <c r="AE142" s="11">
        <f t="shared" ca="1" si="37"/>
        <v>0.50371589247354531</v>
      </c>
      <c r="AF142" s="11">
        <f t="shared" ca="1" si="25"/>
        <v>0.50371589247354531</v>
      </c>
      <c r="AG142" s="11">
        <f t="shared" ca="1" si="38"/>
        <v>0</v>
      </c>
      <c r="AH142" s="11">
        <f t="shared" ca="1" si="33"/>
        <v>1.9185651334898908</v>
      </c>
      <c r="AI142" s="11" t="e">
        <f t="shared" ca="1" si="27"/>
        <v>#N/A</v>
      </c>
      <c r="AJ142" s="11">
        <f t="shared" ca="1" si="34"/>
        <v>1.9185651334898908</v>
      </c>
      <c r="AK142" s="11">
        <f t="shared" ca="1" si="35"/>
        <v>1.9185651334898908</v>
      </c>
    </row>
    <row r="143" spans="5:37" x14ac:dyDescent="0.2">
      <c r="AA143" s="21">
        <v>77</v>
      </c>
      <c r="AB143" s="11">
        <f t="shared" ca="1" si="22"/>
        <v>-67.114165359906153</v>
      </c>
      <c r="AC143" s="11">
        <f t="shared" ca="1" si="23"/>
        <v>0.47338292392748305</v>
      </c>
      <c r="AD143" s="11" t="e">
        <f t="shared" ca="1" si="24"/>
        <v>#N/A</v>
      </c>
      <c r="AE143" s="11">
        <f t="shared" ca="1" si="37"/>
        <v>0.47338292392748305</v>
      </c>
      <c r="AF143" s="11">
        <f t="shared" ca="1" si="25"/>
        <v>0.47338292392748305</v>
      </c>
      <c r="AG143" s="11">
        <f t="shared" ca="1" si="38"/>
        <v>0</v>
      </c>
      <c r="AH143" s="11">
        <f t="shared" ca="1" si="33"/>
        <v>1.9306835264914757</v>
      </c>
      <c r="AI143" s="11" t="e">
        <f t="shared" ca="1" si="27"/>
        <v>#N/A</v>
      </c>
      <c r="AJ143" s="11">
        <f t="shared" ca="1" si="34"/>
        <v>1.9306835264914757</v>
      </c>
      <c r="AK143" s="11">
        <f t="shared" ca="1" si="35"/>
        <v>1.9306835264914757</v>
      </c>
    </row>
    <row r="144" spans="5:37" x14ac:dyDescent="0.2">
      <c r="AA144" s="21">
        <v>78</v>
      </c>
      <c r="AB144" s="11">
        <f t="shared" ca="1" si="22"/>
        <v>-69.83565257576916</v>
      </c>
      <c r="AC144" s="11">
        <f t="shared" ca="1" si="23"/>
        <v>0.44279582691337016</v>
      </c>
      <c r="AD144" s="11" t="e">
        <f t="shared" ca="1" si="24"/>
        <v>#N/A</v>
      </c>
      <c r="AE144" s="11">
        <f t="shared" ca="1" si="37"/>
        <v>0.44279582691337016</v>
      </c>
      <c r="AF144" s="11">
        <f t="shared" ca="1" si="25"/>
        <v>0.44279582691337016</v>
      </c>
      <c r="AG144" s="11">
        <f t="shared" ca="1" si="38"/>
        <v>0</v>
      </c>
      <c r="AH144" s="11">
        <f t="shared" ca="1" si="33"/>
        <v>1.9419289123099051</v>
      </c>
      <c r="AI144" s="11" t="e">
        <f t="shared" ca="1" si="27"/>
        <v>#N/A</v>
      </c>
      <c r="AJ144" s="11">
        <f t="shared" ca="1" si="34"/>
        <v>1.9419289123099051</v>
      </c>
      <c r="AK144" s="11">
        <f t="shared" ca="1" si="35"/>
        <v>1.9419289123099051</v>
      </c>
    </row>
    <row r="145" spans="27:37" x14ac:dyDescent="0.2">
      <c r="AA145" s="21">
        <v>79</v>
      </c>
      <c r="AB145" s="11">
        <f t="shared" ca="1" si="22"/>
        <v>-72.625345489579331</v>
      </c>
      <c r="AC145" s="11">
        <f t="shared" ca="1" si="23"/>
        <v>0.41197928292100922</v>
      </c>
      <c r="AD145" s="11" t="e">
        <f t="shared" ca="1" si="24"/>
        <v>#N/A</v>
      </c>
      <c r="AE145" s="11">
        <f t="shared" ca="1" si="37"/>
        <v>0.41197928292100922</v>
      </c>
      <c r="AF145" s="11">
        <f t="shared" ca="1" si="25"/>
        <v>0.41197928292100922</v>
      </c>
      <c r="AG145" s="11">
        <f t="shared" ca="1" si="38"/>
        <v>0</v>
      </c>
      <c r="AH145" s="11">
        <f t="shared" ca="1" si="33"/>
        <v>1.9522956285547648</v>
      </c>
      <c r="AI145" s="11" t="e">
        <f t="shared" ca="1" si="27"/>
        <v>#N/A</v>
      </c>
      <c r="AJ145" s="11">
        <f t="shared" ca="1" si="34"/>
        <v>1.9522956285547648</v>
      </c>
      <c r="AK145" s="11">
        <f t="shared" ca="1" si="35"/>
        <v>1.9522956285547648</v>
      </c>
    </row>
    <row r="146" spans="27:37" x14ac:dyDescent="0.2">
      <c r="AA146" s="21">
        <v>80</v>
      </c>
      <c r="AB146" s="11">
        <f t="shared" ca="1" si="22"/>
        <v>-75.484005886552751</v>
      </c>
      <c r="AC146" s="11">
        <f t="shared" ca="1" si="23"/>
        <v>0.38095713825679622</v>
      </c>
      <c r="AD146" s="11" t="e">
        <f t="shared" ca="1" si="24"/>
        <v>#N/A</v>
      </c>
      <c r="AE146" s="11">
        <f t="shared" ca="1" si="37"/>
        <v>0.38095713825679622</v>
      </c>
      <c r="AF146" s="11">
        <f t="shared" ca="1" si="25"/>
        <v>0.38095713825679622</v>
      </c>
      <c r="AG146" s="11">
        <f t="shared" ca="1" si="38"/>
        <v>0</v>
      </c>
      <c r="AH146" s="11">
        <f t="shared" ca="1" si="33"/>
        <v>1.9617784552722322</v>
      </c>
      <c r="AI146" s="11" t="e">
        <f t="shared" ca="1" si="27"/>
        <v>#N/A</v>
      </c>
      <c r="AJ146" s="11">
        <f t="shared" ca="1" si="34"/>
        <v>1.9617784552722322</v>
      </c>
      <c r="AK146" s="11">
        <f t="shared" ca="1" si="35"/>
        <v>1.9617784552722322</v>
      </c>
    </row>
    <row r="147" spans="27:37" x14ac:dyDescent="0.2">
      <c r="AA147" s="21">
        <v>81</v>
      </c>
      <c r="AB147" s="11">
        <f t="shared" ca="1" si="22"/>
        <v>-78.41239449423415</v>
      </c>
      <c r="AC147" s="11">
        <f t="shared" ca="1" si="23"/>
        <v>0.34975237122828412</v>
      </c>
      <c r="AD147" s="11" t="e">
        <f t="shared" ca="1" si="24"/>
        <v>#N/A</v>
      </c>
      <c r="AE147" s="11">
        <f t="shared" ca="1" si="37"/>
        <v>0.34975237122828412</v>
      </c>
      <c r="AF147" s="11">
        <f t="shared" ca="1" si="25"/>
        <v>0.34975237122828412</v>
      </c>
      <c r="AG147" s="11">
        <f t="shared" ca="1" si="38"/>
        <v>0</v>
      </c>
      <c r="AH147" s="11">
        <f t="shared" ca="1" si="33"/>
        <v>1.9703726175734795</v>
      </c>
      <c r="AI147" s="11" t="e">
        <f t="shared" ca="1" si="27"/>
        <v>#N/A</v>
      </c>
      <c r="AJ147" s="11">
        <f t="shared" ca="1" si="34"/>
        <v>1.9703726175734795</v>
      </c>
      <c r="AK147" s="11">
        <f t="shared" ca="1" si="35"/>
        <v>1.9703726175734795</v>
      </c>
    </row>
    <row r="148" spans="27:37" x14ac:dyDescent="0.2">
      <c r="AA148" s="21">
        <v>82</v>
      </c>
      <c r="AB148" s="11">
        <f t="shared" ca="1" si="22"/>
        <v>-81.41127099692207</v>
      </c>
      <c r="AC148" s="11">
        <f t="shared" ca="1" si="23"/>
        <v>0.31838705523322847</v>
      </c>
      <c r="AD148" s="11" t="e">
        <f t="shared" ca="1" si="24"/>
        <v>#N/A</v>
      </c>
      <c r="AE148" s="11">
        <f t="shared" ca="1" si="37"/>
        <v>0.31838705523322847</v>
      </c>
      <c r="AF148" s="11">
        <f t="shared" ca="1" si="25"/>
        <v>0.31838705523322847</v>
      </c>
      <c r="AG148" s="11">
        <f t="shared" ca="1" si="38"/>
        <v>0</v>
      </c>
      <c r="AH148" s="11">
        <f t="shared" ca="1" si="33"/>
        <v>1.9780737880389754</v>
      </c>
      <c r="AI148" s="11" t="e">
        <f t="shared" ca="1" si="27"/>
        <v>#N/A</v>
      </c>
      <c r="AJ148" s="11">
        <f t="shared" ca="1" si="34"/>
        <v>1.9780737880389754</v>
      </c>
      <c r="AK148" s="11">
        <f t="shared" ca="1" si="35"/>
        <v>1.9780737880389754</v>
      </c>
    </row>
    <row r="149" spans="27:37" x14ac:dyDescent="0.2">
      <c r="AA149" s="21">
        <v>83</v>
      </c>
      <c r="AB149" s="11">
        <f t="shared" ca="1" si="22"/>
        <v>-84.481394049725367</v>
      </c>
      <c r="AC149" s="11">
        <f t="shared" ca="1" si="23"/>
        <v>0.28688231682668475</v>
      </c>
      <c r="AD149" s="11" t="e">
        <f t="shared" ca="1" si="24"/>
        <v>#N/A</v>
      </c>
      <c r="AE149" s="11">
        <f t="shared" ca="1" si="37"/>
        <v>0.28688231682668475</v>
      </c>
      <c r="AF149" s="11">
        <f t="shared" ca="1" si="25"/>
        <v>0.28688231682668475</v>
      </c>
      <c r="AG149" s="11">
        <f t="shared" ca="1" si="38"/>
        <v>0</v>
      </c>
      <c r="AH149" s="11">
        <f t="shared" ca="1" si="33"/>
        <v>1.9848780888974695</v>
      </c>
      <c r="AI149" s="11" t="e">
        <f t="shared" ca="1" si="27"/>
        <v>#N/A</v>
      </c>
      <c r="AJ149" s="11">
        <f t="shared" ca="1" si="34"/>
        <v>1.9848780888974695</v>
      </c>
      <c r="AK149" s="11">
        <f t="shared" ca="1" si="35"/>
        <v>1.9848780888974695</v>
      </c>
    </row>
    <row r="150" spans="27:37" x14ac:dyDescent="0.2">
      <c r="AA150" s="21">
        <v>84</v>
      </c>
      <c r="AB150" s="11">
        <f t="shared" ca="1" si="22"/>
        <v>-87.623521292263902</v>
      </c>
      <c r="AC150" s="11">
        <f t="shared" ca="1" si="23"/>
        <v>0.25525828751688462</v>
      </c>
      <c r="AD150" s="11" t="e">
        <f t="shared" ca="1" si="24"/>
        <v>#N/A</v>
      </c>
      <c r="AE150" s="11">
        <f t="shared" ca="1" si="37"/>
        <v>0.25525828751688462</v>
      </c>
      <c r="AF150" s="11">
        <f t="shared" ca="1" si="25"/>
        <v>0.25525828751688462</v>
      </c>
      <c r="AG150" s="11">
        <f t="shared" ca="1" si="38"/>
        <v>0</v>
      </c>
      <c r="AH150" s="11">
        <f t="shared" ca="1" si="33"/>
        <v>1.9907820939785679</v>
      </c>
      <c r="AI150" s="11" t="e">
        <f t="shared" ca="1" si="27"/>
        <v>#N/A</v>
      </c>
      <c r="AJ150" s="11">
        <f t="shared" ca="1" si="34"/>
        <v>1.9907820939785679</v>
      </c>
      <c r="AK150" s="11">
        <f t="shared" ca="1" si="35"/>
        <v>1.9907820939785679</v>
      </c>
    </row>
    <row r="151" spans="27:37" x14ac:dyDescent="0.2">
      <c r="AA151" s="21">
        <v>85</v>
      </c>
      <c r="AB151" s="11">
        <f t="shared" ca="1" si="22"/>
        <v>-90.838409362027107</v>
      </c>
      <c r="AC151" s="11">
        <f t="shared" ca="1" si="23"/>
        <v>0.22353404755668371</v>
      </c>
      <c r="AD151" s="11" t="e">
        <f t="shared" ca="1" si="24"/>
        <v>#N/A</v>
      </c>
      <c r="AE151" s="11">
        <f t="shared" ca="1" si="37"/>
        <v>0.22353404755668371</v>
      </c>
      <c r="AF151" s="11">
        <f t="shared" ca="1" si="25"/>
        <v>0.22353404755668371</v>
      </c>
      <c r="AG151" s="11">
        <f t="shared" ca="1" si="38"/>
        <v>0</v>
      </c>
      <c r="AH151" s="11">
        <f t="shared" ca="1" si="33"/>
        <v>1.9957828304379142</v>
      </c>
      <c r="AI151" s="11" t="e">
        <f t="shared" ca="1" si="27"/>
        <v>#N/A</v>
      </c>
      <c r="AJ151" s="11">
        <f t="shared" ca="1" si="34"/>
        <v>1.9957828304379142</v>
      </c>
      <c r="AK151" s="11">
        <f t="shared" ca="1" si="35"/>
        <v>1.9957828304379142</v>
      </c>
    </row>
    <row r="152" spans="27:37" x14ac:dyDescent="0.2">
      <c r="AA152" s="21">
        <v>86</v>
      </c>
      <c r="AB152" s="11">
        <f t="shared" ca="1" si="22"/>
        <v>-94.12681390740272</v>
      </c>
      <c r="AC152" s="11">
        <f t="shared" ca="1" si="23"/>
        <v>0.19172755924134</v>
      </c>
      <c r="AD152" s="11" t="e">
        <f t="shared" ca="1" si="24"/>
        <v>#N/A</v>
      </c>
      <c r="AE152" s="11">
        <f t="shared" ca="1" si="37"/>
        <v>0.19172755924134</v>
      </c>
      <c r="AF152" s="11">
        <f t="shared" ca="1" si="25"/>
        <v>0.19172755924134</v>
      </c>
      <c r="AG152" s="11">
        <f t="shared" ca="1" si="38"/>
        <v>0</v>
      </c>
      <c r="AH152" s="11">
        <f t="shared" ca="1" si="33"/>
        <v>1.999877780254103</v>
      </c>
      <c r="AI152" s="11" t="e">
        <f t="shared" ca="1" si="27"/>
        <v>#N/A</v>
      </c>
      <c r="AJ152" s="11">
        <f t="shared" ca="1" si="34"/>
        <v>1.999877780254103</v>
      </c>
      <c r="AK152" s="11">
        <f t="shared" ca="1" si="35"/>
        <v>1.999877780254103</v>
      </c>
    </row>
    <row r="153" spans="27:37" x14ac:dyDescent="0.2">
      <c r="AA153" s="21">
        <v>87</v>
      </c>
      <c r="AB153" s="11">
        <f t="shared" ca="1" si="22"/>
        <v>-97.489489600386733</v>
      </c>
      <c r="AC153" s="11">
        <f t="shared" ca="1" si="23"/>
        <v>0.15985558598023147</v>
      </c>
      <c r="AD153" s="11" t="e">
        <f t="shared" ca="1" si="24"/>
        <v>#N/A</v>
      </c>
      <c r="AE153" s="11">
        <f t="shared" ca="1" si="37"/>
        <v>0.15985558598023147</v>
      </c>
      <c r="AF153" s="11">
        <f t="shared" ca="1" si="25"/>
        <v>0.15985558598023147</v>
      </c>
      <c r="AG153" s="11">
        <f t="shared" ca="1" si="38"/>
        <v>0</v>
      </c>
      <c r="AH153" s="11">
        <f t="shared" ca="1" si="33"/>
        <v>2.003064881496583</v>
      </c>
      <c r="AI153" s="11" t="e">
        <f t="shared" ca="1" si="27"/>
        <v>#N/A</v>
      </c>
      <c r="AJ153" s="11">
        <f t="shared" ca="1" si="34"/>
        <v>2.003064881496583</v>
      </c>
      <c r="AK153" s="11">
        <f t="shared" ca="1" si="35"/>
        <v>2.003064881496583</v>
      </c>
    </row>
    <row r="154" spans="27:37" x14ac:dyDescent="0.2">
      <c r="AA154" s="21">
        <v>88</v>
      </c>
      <c r="AB154" s="11">
        <f t="shared" ca="1" si="22"/>
        <v>-100.92719014898806</v>
      </c>
      <c r="AC154" s="11">
        <f t="shared" ca="1" si="23"/>
        <v>0.12793359122804088</v>
      </c>
      <c r="AD154" s="11" t="e">
        <f t="shared" ca="1" si="24"/>
        <v>#N/A</v>
      </c>
      <c r="AE154" s="11">
        <f t="shared" ca="1" si="37"/>
        <v>0.12793359122804088</v>
      </c>
      <c r="AF154" s="11">
        <f t="shared" ca="1" si="25"/>
        <v>0.12793359122804088</v>
      </c>
      <c r="AG154" s="11">
        <f t="shared" ca="1" si="38"/>
        <v>0</v>
      </c>
      <c r="AH154" s="11">
        <f t="shared" ca="1" si="33"/>
        <v>2.0053425293638987</v>
      </c>
      <c r="AI154" s="11" t="e">
        <f t="shared" ca="1" si="27"/>
        <v>#N/A</v>
      </c>
      <c r="AJ154" s="11">
        <f t="shared" ca="1" si="34"/>
        <v>2.0053425293638987</v>
      </c>
      <c r="AK154" s="11">
        <f t="shared" ca="1" si="35"/>
        <v>2.0053425293638987</v>
      </c>
    </row>
    <row r="155" spans="27:37" x14ac:dyDescent="0.2">
      <c r="AA155" s="21">
        <v>89</v>
      </c>
      <c r="AB155" s="11">
        <f t="shared" ca="1" si="22"/>
        <v>-104.44066830933581</v>
      </c>
      <c r="AC155" s="11">
        <f t="shared" ca="1" si="23"/>
        <v>9.5975607183880429E-2</v>
      </c>
      <c r="AD155" s="11" t="e">
        <f t="shared" ca="1" si="24"/>
        <v>#N/A</v>
      </c>
      <c r="AE155" s="11">
        <f t="shared" ca="1" si="37"/>
        <v>9.5975607183880429E-2</v>
      </c>
      <c r="AF155" s="11">
        <f t="shared" ca="1" si="25"/>
        <v>9.5975607183880429E-2</v>
      </c>
      <c r="AG155" s="11">
        <f t="shared" ca="1" si="38"/>
        <v>0</v>
      </c>
      <c r="AH155" s="11">
        <f t="shared" ca="1" si="33"/>
        <v>2.0067095769917582</v>
      </c>
      <c r="AI155" s="11" t="e">
        <f t="shared" ca="1" si="27"/>
        <v>#N/A</v>
      </c>
      <c r="AJ155" s="11">
        <f t="shared" ca="1" si="34"/>
        <v>2.0067095769917582</v>
      </c>
      <c r="AK155" s="11">
        <f t="shared" ca="1" si="35"/>
        <v>2.0067095769917582</v>
      </c>
    </row>
    <row r="156" spans="27:37" x14ac:dyDescent="0.2">
      <c r="AA156" s="21">
        <v>90</v>
      </c>
      <c r="AB156" s="11">
        <f t="shared" ca="1" si="22"/>
        <v>-108.03067589750201</v>
      </c>
      <c r="AC156" s="11">
        <f t="shared" ca="1" si="23"/>
        <v>6.3994054131360181E-2</v>
      </c>
      <c r="AD156" s="11" t="e">
        <f t="shared" ca="1" si="24"/>
        <v>#N/A</v>
      </c>
      <c r="AE156" s="11">
        <f t="shared" ca="1" si="37"/>
        <v>6.3994054131360181E-2</v>
      </c>
      <c r="AF156" s="11">
        <f t="shared" ca="1" si="25"/>
        <v>6.3994054131360181E-2</v>
      </c>
      <c r="AG156" s="11">
        <f t="shared" ca="1" si="38"/>
        <v>0</v>
      </c>
      <c r="AH156" s="11">
        <f t="shared" ca="1" si="33"/>
        <v>2.0071653360305115</v>
      </c>
      <c r="AI156" s="11" t="e">
        <f t="shared" ca="1" si="27"/>
        <v>#N/A</v>
      </c>
      <c r="AJ156" s="11">
        <f t="shared" ca="1" si="34"/>
        <v>2.0071653360305115</v>
      </c>
      <c r="AK156" s="11">
        <f t="shared" ca="1" si="35"/>
        <v>2.0071653360305115</v>
      </c>
    </row>
    <row r="157" spans="27:37" x14ac:dyDescent="0.2">
      <c r="AA157" s="21">
        <v>91</v>
      </c>
      <c r="AB157" s="11">
        <f t="shared" ca="1" si="22"/>
        <v>-111.69796380104741</v>
      </c>
      <c r="AC157" s="11">
        <f t="shared" ca="1" si="23"/>
        <v>3.1999467640300538E-2</v>
      </c>
      <c r="AD157" s="11" t="e">
        <f t="shared" ca="1" si="24"/>
        <v>#N/A</v>
      </c>
      <c r="AE157" s="11">
        <f t="shared" ca="1" si="37"/>
        <v>3.1999467640300538E-2</v>
      </c>
      <c r="AF157" s="11">
        <f t="shared" ca="1" si="25"/>
        <v>3.1999467640300538E-2</v>
      </c>
      <c r="AG157" s="11">
        <f t="shared" ca="1" si="38"/>
        <v>0</v>
      </c>
      <c r="AH157" s="11">
        <f t="shared" ca="1" si="33"/>
        <v>2.0067095769917582</v>
      </c>
      <c r="AI157" s="11" t="e">
        <f t="shared" ca="1" si="27"/>
        <v>#N/A</v>
      </c>
      <c r="AJ157" s="11">
        <f t="shared" ca="1" si="34"/>
        <v>2.0067095769917582</v>
      </c>
      <c r="AK157" s="11">
        <f t="shared" ca="1" si="35"/>
        <v>2.0067095769917582</v>
      </c>
    </row>
    <row r="158" spans="27:37" x14ac:dyDescent="0.2">
      <c r="AA158" s="21">
        <v>92</v>
      </c>
      <c r="AB158" s="11">
        <f t="shared" ca="1" si="22"/>
        <v>-115.44328199030213</v>
      </c>
      <c r="AC158" s="11">
        <f t="shared" ca="1" si="23"/>
        <v>0</v>
      </c>
      <c r="AD158" s="11" t="e">
        <f t="shared" ca="1" si="24"/>
        <v>#N/A</v>
      </c>
      <c r="AE158" s="11">
        <f t="shared" ca="1" si="37"/>
        <v>0</v>
      </c>
      <c r="AF158" s="11">
        <f t="shared" ca="1" si="25"/>
        <v>0</v>
      </c>
      <c r="AG158" s="11">
        <f t="shared" ca="1" si="38"/>
        <v>0</v>
      </c>
      <c r="AH158" s="11">
        <f t="shared" ca="1" si="33"/>
        <v>2.0053425293638987</v>
      </c>
      <c r="AI158" s="11" t="e">
        <f t="shared" ca="1" si="27"/>
        <v>#N/A</v>
      </c>
      <c r="AJ158" s="11">
        <f t="shared" ca="1" si="34"/>
        <v>2.0053425293638987</v>
      </c>
      <c r="AK158" s="11">
        <f t="shared" ca="1" si="35"/>
        <v>2.0053425293638987</v>
      </c>
    </row>
    <row r="159" spans="27:37" x14ac:dyDescent="0.2">
      <c r="AA159" s="21">
        <v>93</v>
      </c>
      <c r="AB159" s="11">
        <f t="shared" ca="1" si="22"/>
        <v>-119.26737952938771</v>
      </c>
      <c r="AC159" s="11">
        <f t="shared" ca="1" si="23"/>
        <v>-3.1999467640300538E-2</v>
      </c>
      <c r="AD159" s="11" t="e">
        <f t="shared" ca="1" si="24"/>
        <v>#N/A</v>
      </c>
      <c r="AE159" s="11">
        <f t="shared" ca="1" si="37"/>
        <v>-3.1999467640300538E-2</v>
      </c>
      <c r="AF159" s="11">
        <f t="shared" ca="1" si="25"/>
        <v>-3.1999467640300538E-2</v>
      </c>
      <c r="AG159" s="11">
        <f t="shared" ca="1" si="38"/>
        <v>0</v>
      </c>
      <c r="AH159" s="11">
        <f t="shared" ca="1" si="33"/>
        <v>2.003064881496583</v>
      </c>
      <c r="AI159" s="11" t="e">
        <f t="shared" ca="1" si="27"/>
        <v>#N/A</v>
      </c>
      <c r="AJ159" s="11">
        <f t="shared" ca="1" si="34"/>
        <v>2.003064881496583</v>
      </c>
      <c r="AK159" s="11">
        <f t="shared" ca="1" si="35"/>
        <v>2.003064881496583</v>
      </c>
    </row>
    <row r="160" spans="27:37" x14ac:dyDescent="0.2">
      <c r="AA160" s="21">
        <v>94</v>
      </c>
      <c r="AB160" s="11">
        <f t="shared" ca="1" si="22"/>
        <v>-123.17100458699075</v>
      </c>
      <c r="AC160" s="11">
        <f t="shared" ca="1" si="23"/>
        <v>-6.3994054131360181E-2</v>
      </c>
      <c r="AD160" s="11" t="e">
        <f t="shared" ca="1" si="24"/>
        <v>#N/A</v>
      </c>
      <c r="AE160" s="11">
        <f t="shared" ca="1" si="37"/>
        <v>-6.3994054131360181E-2</v>
      </c>
      <c r="AF160" s="11">
        <f t="shared" ca="1" si="25"/>
        <v>-6.3994054131360181E-2</v>
      </c>
      <c r="AG160" s="11">
        <f t="shared" ca="1" si="38"/>
        <v>0</v>
      </c>
      <c r="AH160" s="11">
        <f t="shared" ca="1" si="33"/>
        <v>1.999877780254103</v>
      </c>
      <c r="AI160" s="11" t="e">
        <f t="shared" ca="1" si="27"/>
        <v>#N/A</v>
      </c>
      <c r="AJ160" s="11">
        <f t="shared" ca="1" si="34"/>
        <v>1.999877780254103</v>
      </c>
      <c r="AK160" s="11">
        <f t="shared" ca="1" si="35"/>
        <v>1.999877780254103</v>
      </c>
    </row>
    <row r="161" spans="27:37" x14ac:dyDescent="0.2">
      <c r="AA161" s="21">
        <v>95</v>
      </c>
      <c r="AB161" s="11">
        <f t="shared" ca="1" si="22"/>
        <v>-127.15490444689587</v>
      </c>
      <c r="AC161" s="11">
        <f t="shared" ca="1" si="23"/>
        <v>-9.5975607183880429E-2</v>
      </c>
      <c r="AD161" s="11" t="e">
        <f t="shared" ca="1" si="24"/>
        <v>#N/A</v>
      </c>
      <c r="AE161" s="11">
        <f t="shared" ca="1" si="37"/>
        <v>-9.5975607183880429E-2</v>
      </c>
      <c r="AF161" s="11">
        <f t="shared" ca="1" si="25"/>
        <v>-9.5975607183880429E-2</v>
      </c>
      <c r="AG161" s="11">
        <f t="shared" ca="1" si="38"/>
        <v>0</v>
      </c>
      <c r="AH161" s="11">
        <f t="shared" ca="1" si="33"/>
        <v>1.9957828304379142</v>
      </c>
      <c r="AI161" s="11" t="e">
        <f t="shared" ca="1" si="27"/>
        <v>#N/A</v>
      </c>
      <c r="AJ161" s="11">
        <f t="shared" ca="1" si="34"/>
        <v>1.9957828304379142</v>
      </c>
      <c r="AK161" s="11">
        <f t="shared" ca="1" si="35"/>
        <v>1.9957828304379142</v>
      </c>
    </row>
    <row r="162" spans="27:37" x14ac:dyDescent="0.2">
      <c r="AA162" s="21">
        <v>96</v>
      </c>
      <c r="AB162" s="11">
        <f t="shared" ca="1" si="22"/>
        <v>-131.21982551828552</v>
      </c>
      <c r="AC162" s="11">
        <f t="shared" ca="1" si="23"/>
        <v>-0.12793359122804088</v>
      </c>
      <c r="AD162" s="11" t="e">
        <f t="shared" ca="1" si="24"/>
        <v>#N/A</v>
      </c>
      <c r="AE162" s="11">
        <f t="shared" ca="1" si="37"/>
        <v>-0.12793359122804088</v>
      </c>
      <c r="AF162" s="11">
        <f t="shared" ca="1" si="25"/>
        <v>-0.12793359122804088</v>
      </c>
      <c r="AG162" s="11">
        <f t="shared" ca="1" si="38"/>
        <v>0</v>
      </c>
      <c r="AH162" s="11">
        <f t="shared" ca="1" si="33"/>
        <v>1.9907820939785681</v>
      </c>
      <c r="AI162" s="11" t="e">
        <f t="shared" ca="1" si="27"/>
        <v>#N/A</v>
      </c>
      <c r="AJ162" s="11">
        <f t="shared" ca="1" si="34"/>
        <v>1.9907820939785681</v>
      </c>
      <c r="AK162" s="11">
        <f t="shared" ca="1" si="35"/>
        <v>1.9907820939785681</v>
      </c>
    </row>
    <row r="163" spans="27:37" x14ac:dyDescent="0.2">
      <c r="AA163" s="21">
        <v>97</v>
      </c>
      <c r="AB163" s="11">
        <f t="shared" ca="1" si="22"/>
        <v>-135.36651334581501</v>
      </c>
      <c r="AC163" s="11">
        <f t="shared" ca="1" si="23"/>
        <v>-0.15985558598023147</v>
      </c>
      <c r="AD163" s="11" t="e">
        <f t="shared" ca="1" si="24"/>
        <v>#N/A</v>
      </c>
      <c r="AE163" s="11">
        <f t="shared" ca="1" si="37"/>
        <v>-0.15985558598023147</v>
      </c>
      <c r="AF163" s="11">
        <f t="shared" ca="1" si="25"/>
        <v>-0.15985558598023147</v>
      </c>
      <c r="AG163" s="11">
        <f t="shared" ca="1" si="38"/>
        <v>0</v>
      </c>
      <c r="AH163" s="11">
        <f t="shared" ca="1" si="33"/>
        <v>1.9848780888974693</v>
      </c>
      <c r="AI163" s="11" t="e">
        <f t="shared" ca="1" si="27"/>
        <v>#N/A</v>
      </c>
      <c r="AJ163" s="11">
        <f t="shared" ca="1" si="34"/>
        <v>1.9848780888974693</v>
      </c>
      <c r="AK163" s="11">
        <f t="shared" ca="1" si="35"/>
        <v>1.9848780888974693</v>
      </c>
    </row>
    <row r="164" spans="27:37" x14ac:dyDescent="0.2">
      <c r="AA164" s="21">
        <v>98</v>
      </c>
      <c r="AB164" s="11">
        <f t="shared" ref="AB164:AB186" ca="1" si="39">IF(AA164&gt;=$Q$28,$Q$27*(AA164-$Q$28)-$Q$29*POWER((AA164-$Q$28)/($Q$26-$Q$28),$Q$32),              $Q$27*(AA164-$Q$28)+$Q$29*POWER(($Q$28-AA164)/($Q$26-$Q$28),$Q$32))</f>
        <v>-139.59571261946832</v>
      </c>
      <c r="AC164" s="11">
        <f t="shared" ref="AC164:AC186" ca="1" si="40">IF(AND($Q$28&lt;=AA164,AA164&lt;$Q$26),0,IF(AND($Q$26&lt;=AA164,AA164&lt;=92),-0.032*(AA164-92)-$S$26*POWER((92-AA164)/51,$S$28),IF(AA164&gt;92,-0.032*(AA164-92)+$S$26*POWER((AA164-92)/51,$S$28),NA())))</f>
        <v>-0.19172755924134</v>
      </c>
      <c r="AD164" s="11" t="e">
        <f t="shared" ref="AD164:AD186" ca="1" si="41">IF(AA164&lt;=$Q$28,-1*FORECAST(-AA164+2*$Q$28,OFFSET(positiveCL2,MATCH(-AA164+2*$Q$28,angles,1)-1,0,2),OFFSET(angles,MATCH(-AA164+2*$Q$28,angles,1)-1,0,2)),NA())</f>
        <v>#N/A</v>
      </c>
      <c r="AE164" s="11">
        <f t="shared" ca="1" si="37"/>
        <v>-0.19172755924134</v>
      </c>
      <c r="AF164" s="11">
        <f t="shared" ref="AF164:AF186" ca="1" si="42">IF(AA164&gt;=$Q$28,MAX(AB164,AE164),MIN(AB164,AE164))</f>
        <v>-0.19172755924134</v>
      </c>
      <c r="AG164" s="11">
        <f t="shared" ref="AG164:AG186" ca="1" si="43">IF(AND(2*$Q$28-$Q$31&lt;=AA164,AA164&lt;=$Q$31),$Q$33+($Q$30-$Q$33)*POWER(ABS((AA164-$Q$28)/($Q$31-$Q$28)),$Q$34),0)</f>
        <v>0</v>
      </c>
      <c r="AH164" s="11">
        <f t="shared" ca="1" si="33"/>
        <v>1.9780737880389754</v>
      </c>
      <c r="AI164" s="11" t="e">
        <f t="shared" ref="AI164:AI186" ca="1" si="44">IF(AA164&lt;=2*$Q$28-$Q$31, FORECAST(-AA164+2*$Q$28,OFFSET(positiveCD2,MATCH(-AA164+2*$Q$28,angles,1)-1,0,2),OFFSET(angles,MATCH(-AA164+2*$Q$28,angles,1)-1,0,2)), NA())</f>
        <v>#N/A</v>
      </c>
      <c r="AJ164" s="11">
        <f t="shared" ca="1" si="34"/>
        <v>1.9780737880389754</v>
      </c>
      <c r="AK164" s="11">
        <f t="shared" ca="1" si="35"/>
        <v>1.9780737880389754</v>
      </c>
    </row>
    <row r="165" spans="27:37" x14ac:dyDescent="0.2">
      <c r="AA165" s="21">
        <v>99</v>
      </c>
      <c r="AB165" s="11">
        <f t="shared" ca="1" si="39"/>
        <v>-143.90816718420351</v>
      </c>
      <c r="AC165" s="11">
        <f t="shared" ca="1" si="40"/>
        <v>-0.22353404755668371</v>
      </c>
      <c r="AD165" s="11" t="e">
        <f t="shared" ca="1" si="41"/>
        <v>#N/A</v>
      </c>
      <c r="AE165" s="11">
        <f t="shared" ca="1" si="37"/>
        <v>-0.22353404755668371</v>
      </c>
      <c r="AF165" s="11">
        <f t="shared" ca="1" si="42"/>
        <v>-0.22353404755668371</v>
      </c>
      <c r="AG165" s="11">
        <f t="shared" ca="1" si="43"/>
        <v>0</v>
      </c>
      <c r="AH165" s="11">
        <f t="shared" ref="AH165:AH186" ca="1" si="45">IF(AND(2*$Q$28-$Q$31&lt;AA165,AA165&lt;$Q$31),AG165,IF(AA165&gt;=$Q$31,$Q$30+($S$27-$Q$30)*SIN((AA165-$Q$31)*90*PI()/((90-$Q$31)*180)),NA()))</f>
        <v>1.9703726175734795</v>
      </c>
      <c r="AI165" s="11" t="e">
        <f t="shared" ca="1" si="44"/>
        <v>#N/A</v>
      </c>
      <c r="AJ165" s="11">
        <f t="shared" ref="AJ165:AJ186" ca="1" si="46">IF(NOT(OR(ISNUMBER(AH165),ISNUMBER(AI165))),0,IF(ISNUMBER(AH165),AH165,AI165))</f>
        <v>1.9703726175734795</v>
      </c>
      <c r="AK165" s="11">
        <f t="shared" ref="AK165:AK186" ca="1" si="47">IF(AG165=0,AJ165,AG165)</f>
        <v>1.9703726175734795</v>
      </c>
    </row>
    <row r="166" spans="27:37" x14ac:dyDescent="0.2">
      <c r="AA166" s="21">
        <v>100</v>
      </c>
      <c r="AB166" s="11">
        <f t="shared" ca="1" si="39"/>
        <v>-148.30462004939332</v>
      </c>
      <c r="AC166" s="11">
        <f t="shared" ca="1" si="40"/>
        <v>-0.25525828751688462</v>
      </c>
      <c r="AD166" s="11" t="e">
        <f t="shared" ca="1" si="41"/>
        <v>#N/A</v>
      </c>
      <c r="AE166" s="11">
        <f t="shared" ref="AE166:AE186" ca="1" si="48">IF(NOT(OR(ISNUMBER(AC166),ISNUMBER(AD166))),0,IF(ISNUMBER(AC166),AC166,AD166))</f>
        <v>-0.25525828751688462</v>
      </c>
      <c r="AF166" s="11">
        <f t="shared" ca="1" si="42"/>
        <v>-0.25525828751688462</v>
      </c>
      <c r="AG166" s="11">
        <f t="shared" ca="1" si="43"/>
        <v>0</v>
      </c>
      <c r="AH166" s="11">
        <f t="shared" ca="1" si="45"/>
        <v>1.9617784552722322</v>
      </c>
      <c r="AI166" s="11" t="e">
        <f t="shared" ca="1" si="44"/>
        <v>#N/A</v>
      </c>
      <c r="AJ166" s="11">
        <f t="shared" ca="1" si="46"/>
        <v>1.9617784552722322</v>
      </c>
      <c r="AK166" s="11">
        <f t="shared" ca="1" si="47"/>
        <v>1.9617784552722322</v>
      </c>
    </row>
    <row r="167" spans="27:37" x14ac:dyDescent="0.2">
      <c r="AA167" s="21">
        <v>101</v>
      </c>
      <c r="AB167" s="11">
        <f t="shared" ca="1" si="39"/>
        <v>-152.78581339806726</v>
      </c>
      <c r="AC167" s="11">
        <f t="shared" ca="1" si="40"/>
        <v>-0.28688231682668475</v>
      </c>
      <c r="AD167" s="11" t="e">
        <f t="shared" ca="1" si="41"/>
        <v>#N/A</v>
      </c>
      <c r="AE167" s="11">
        <f t="shared" ca="1" si="48"/>
        <v>-0.28688231682668475</v>
      </c>
      <c r="AF167" s="11">
        <f t="shared" ca="1" si="42"/>
        <v>-0.28688231682668475</v>
      </c>
      <c r="AG167" s="11">
        <f t="shared" ca="1" si="43"/>
        <v>0</v>
      </c>
      <c r="AH167" s="11">
        <f t="shared" ca="1" si="45"/>
        <v>1.9522956285547648</v>
      </c>
      <c r="AI167" s="11" t="e">
        <f t="shared" ca="1" si="44"/>
        <v>#N/A</v>
      </c>
      <c r="AJ167" s="11">
        <f t="shared" ca="1" si="46"/>
        <v>1.9522956285547648</v>
      </c>
      <c r="AK167" s="11">
        <f t="shared" ca="1" si="47"/>
        <v>1.9522956285547648</v>
      </c>
    </row>
    <row r="168" spans="27:37" x14ac:dyDescent="0.2">
      <c r="AA168" s="21">
        <v>102</v>
      </c>
      <c r="AB168" s="11">
        <f t="shared" ca="1" si="39"/>
        <v>-157.35248859596112</v>
      </c>
      <c r="AC168" s="11">
        <f t="shared" ca="1" si="40"/>
        <v>-0.31838705523322847</v>
      </c>
      <c r="AD168" s="11" t="e">
        <f t="shared" ca="1" si="41"/>
        <v>#N/A</v>
      </c>
      <c r="AE168" s="11">
        <f t="shared" ca="1" si="48"/>
        <v>-0.31838705523322847</v>
      </c>
      <c r="AF168" s="11">
        <f t="shared" ca="1" si="42"/>
        <v>-0.31838705523322847</v>
      </c>
      <c r="AG168" s="11">
        <f t="shared" ca="1" si="43"/>
        <v>0</v>
      </c>
      <c r="AH168" s="11">
        <f t="shared" ca="1" si="45"/>
        <v>1.9419289123099051</v>
      </c>
      <c r="AI168" s="11" t="e">
        <f t="shared" ca="1" si="44"/>
        <v>#N/A</v>
      </c>
      <c r="AJ168" s="11">
        <f t="shared" ca="1" si="46"/>
        <v>1.9419289123099051</v>
      </c>
      <c r="AK168" s="11">
        <f t="shared" ca="1" si="47"/>
        <v>1.9419289123099051</v>
      </c>
    </row>
    <row r="169" spans="27:37" x14ac:dyDescent="0.2">
      <c r="AA169" s="21">
        <v>103</v>
      </c>
      <c r="AB169" s="11">
        <f t="shared" ca="1" si="39"/>
        <v>-162.00538620038068</v>
      </c>
      <c r="AC169" s="11">
        <f t="shared" ca="1" si="40"/>
        <v>-0.34975237122828412</v>
      </c>
      <c r="AD169" s="11" t="e">
        <f t="shared" ca="1" si="41"/>
        <v>#N/A</v>
      </c>
      <c r="AE169" s="11">
        <f t="shared" ca="1" si="48"/>
        <v>-0.34975237122828412</v>
      </c>
      <c r="AF169" s="11">
        <f t="shared" ca="1" si="42"/>
        <v>-0.34975237122828412</v>
      </c>
      <c r="AG169" s="11">
        <f t="shared" ca="1" si="43"/>
        <v>0</v>
      </c>
      <c r="AH169" s="11">
        <f t="shared" ca="1" si="45"/>
        <v>1.9306835264914757</v>
      </c>
      <c r="AI169" s="11" t="e">
        <f t="shared" ca="1" si="44"/>
        <v>#N/A</v>
      </c>
      <c r="AJ169" s="11">
        <f t="shared" ca="1" si="46"/>
        <v>1.9306835264914757</v>
      </c>
      <c r="AK169" s="11">
        <f t="shared" ca="1" si="47"/>
        <v>1.9306835264914757</v>
      </c>
    </row>
    <row r="170" spans="27:37" x14ac:dyDescent="0.2">
      <c r="AA170" s="21">
        <v>104</v>
      </c>
      <c r="AB170" s="11">
        <f t="shared" ca="1" si="39"/>
        <v>-166.7452459688846</v>
      </c>
      <c r="AC170" s="11">
        <f t="shared" ca="1" si="40"/>
        <v>-0.38095713825679622</v>
      </c>
      <c r="AD170" s="11" t="e">
        <f t="shared" ca="1" si="41"/>
        <v>#N/A</v>
      </c>
      <c r="AE170" s="11">
        <f t="shared" ca="1" si="48"/>
        <v>-0.38095713825679622</v>
      </c>
      <c r="AF170" s="11">
        <f t="shared" ca="1" si="42"/>
        <v>-0.38095713825679622</v>
      </c>
      <c r="AG170" s="11">
        <f t="shared" ca="1" si="43"/>
        <v>0</v>
      </c>
      <c r="AH170" s="11">
        <f t="shared" ca="1" si="45"/>
        <v>1.918565133489891</v>
      </c>
      <c r="AI170" s="11" t="e">
        <f t="shared" ca="1" si="44"/>
        <v>#N/A</v>
      </c>
      <c r="AJ170" s="11">
        <f t="shared" ca="1" si="46"/>
        <v>1.918565133489891</v>
      </c>
      <c r="AK170" s="11">
        <f t="shared" ca="1" si="47"/>
        <v>1.918565133489891</v>
      </c>
    </row>
    <row r="171" spans="27:37" x14ac:dyDescent="0.2">
      <c r="AA171" s="21">
        <v>105</v>
      </c>
      <c r="AB171" s="11">
        <f t="shared" ca="1" si="39"/>
        <v>-171.57280686779114</v>
      </c>
      <c r="AC171" s="11">
        <f t="shared" ca="1" si="40"/>
        <v>-0.41197928292100922</v>
      </c>
      <c r="AD171" s="11" t="e">
        <f t="shared" ca="1" si="41"/>
        <v>#N/A</v>
      </c>
      <c r="AE171" s="11">
        <f t="shared" ca="1" si="48"/>
        <v>-0.41197928292100922</v>
      </c>
      <c r="AF171" s="11">
        <f t="shared" ca="1" si="42"/>
        <v>-0.41197928292100922</v>
      </c>
      <c r="AG171" s="11">
        <f t="shared" ca="1" si="43"/>
        <v>0</v>
      </c>
      <c r="AH171" s="11">
        <f t="shared" ca="1" si="45"/>
        <v>1.9055798352809723</v>
      </c>
      <c r="AI171" s="11" t="e">
        <f t="shared" ca="1" si="44"/>
        <v>#N/A</v>
      </c>
      <c r="AJ171" s="11">
        <f t="shared" ca="1" si="46"/>
        <v>1.9055798352809723</v>
      </c>
      <c r="AK171" s="11">
        <f t="shared" ca="1" si="47"/>
        <v>1.9055798352809723</v>
      </c>
    </row>
    <row r="172" spans="27:37" x14ac:dyDescent="0.2">
      <c r="AA172" s="21">
        <v>106</v>
      </c>
      <c r="AB172" s="11">
        <f t="shared" ca="1" si="39"/>
        <v>-176.48880708051445</v>
      </c>
      <c r="AC172" s="11">
        <f t="shared" ca="1" si="40"/>
        <v>-0.44279582691337016</v>
      </c>
      <c r="AD172" s="11" t="e">
        <f t="shared" ca="1" si="41"/>
        <v>#N/A</v>
      </c>
      <c r="AE172" s="11">
        <f t="shared" ca="1" si="48"/>
        <v>-0.44279582691337016</v>
      </c>
      <c r="AF172" s="11">
        <f t="shared" ca="1" si="42"/>
        <v>-0.44279582691337016</v>
      </c>
      <c r="AG172" s="11">
        <f t="shared" ca="1" si="43"/>
        <v>0</v>
      </c>
      <c r="AH172" s="11">
        <f t="shared" ca="1" si="45"/>
        <v>1.8917341703534198</v>
      </c>
      <c r="AI172" s="11" t="e">
        <f t="shared" ca="1" si="44"/>
        <v>#N/A</v>
      </c>
      <c r="AJ172" s="11">
        <f t="shared" ca="1" si="46"/>
        <v>1.8917341703534198</v>
      </c>
      <c r="AK172" s="11">
        <f t="shared" ca="1" si="47"/>
        <v>1.8917341703534198</v>
      </c>
    </row>
    <row r="173" spans="27:37" x14ac:dyDescent="0.2">
      <c r="AA173" s="21">
        <v>107</v>
      </c>
      <c r="AB173" s="11">
        <f t="shared" ca="1" si="39"/>
        <v>-181.49398401573848</v>
      </c>
      <c r="AC173" s="11">
        <f t="shared" ca="1" si="40"/>
        <v>-0.47338292392748305</v>
      </c>
      <c r="AD173" s="11" t="e">
        <f t="shared" ca="1" si="41"/>
        <v>#N/A</v>
      </c>
      <c r="AE173" s="11">
        <f t="shared" ca="1" si="48"/>
        <v>-0.47338292392748305</v>
      </c>
      <c r="AF173" s="11">
        <f t="shared" ca="1" si="42"/>
        <v>-0.47338292392748305</v>
      </c>
      <c r="AG173" s="11">
        <f t="shared" ca="1" si="43"/>
        <v>0</v>
      </c>
      <c r="AH173" s="11">
        <f t="shared" ca="1" si="45"/>
        <v>1.8770351104164871</v>
      </c>
      <c r="AI173" s="11" t="e">
        <f t="shared" ca="1" si="44"/>
        <v>#N/A</v>
      </c>
      <c r="AJ173" s="11">
        <f t="shared" ca="1" si="46"/>
        <v>1.8770351104164871</v>
      </c>
      <c r="AK173" s="11">
        <f t="shared" ca="1" si="47"/>
        <v>1.8770351104164871</v>
      </c>
    </row>
    <row r="174" spans="27:37" x14ac:dyDescent="0.2">
      <c r="AA174" s="21">
        <v>108</v>
      </c>
      <c r="AB174" s="11">
        <f t="shared" ca="1" si="39"/>
        <v>-186.58907431542511</v>
      </c>
      <c r="AC174" s="11">
        <f t="shared" ca="1" si="40"/>
        <v>-0.50371589247354531</v>
      </c>
      <c r="AD174" s="11" t="e">
        <f t="shared" ca="1" si="41"/>
        <v>#N/A</v>
      </c>
      <c r="AE174" s="11">
        <f t="shared" ca="1" si="48"/>
        <v>-0.50371589247354531</v>
      </c>
      <c r="AF174" s="11">
        <f t="shared" ca="1" si="42"/>
        <v>-0.50371589247354531</v>
      </c>
      <c r="AG174" s="11">
        <f t="shared" ca="1" si="43"/>
        <v>0</v>
      </c>
      <c r="AH174" s="11">
        <f t="shared" ca="1" si="45"/>
        <v>1.8614900568895141</v>
      </c>
      <c r="AI174" s="11" t="e">
        <f t="shared" ca="1" si="44"/>
        <v>#N/A</v>
      </c>
      <c r="AJ174" s="11">
        <f t="shared" ca="1" si="46"/>
        <v>1.8614900568895141</v>
      </c>
      <c r="AK174" s="11">
        <f t="shared" ca="1" si="47"/>
        <v>1.8614900568895141</v>
      </c>
    </row>
    <row r="175" spans="27:37" x14ac:dyDescent="0.2">
      <c r="AA175" s="21">
        <v>109</v>
      </c>
      <c r="AB175" s="11">
        <f t="shared" ca="1" si="39"/>
        <v>-191.7748138626711</v>
      </c>
      <c r="AC175" s="11">
        <f t="shared" ca="1" si="40"/>
        <v>-0.53376924530183911</v>
      </c>
      <c r="AD175" s="11" t="e">
        <f t="shared" ca="1" si="41"/>
        <v>#N/A</v>
      </c>
      <c r="AE175" s="11">
        <f t="shared" ca="1" si="48"/>
        <v>-0.53376924530183911</v>
      </c>
      <c r="AF175" s="11">
        <f t="shared" ca="1" si="42"/>
        <v>-0.53376924530183911</v>
      </c>
      <c r="AG175" s="11">
        <f t="shared" ca="1" si="43"/>
        <v>0</v>
      </c>
      <c r="AH175" s="11">
        <f t="shared" ca="1" si="45"/>
        <v>1.8451068371750905</v>
      </c>
      <c r="AI175" s="11" t="e">
        <f t="shared" ca="1" si="44"/>
        <v>#N/A</v>
      </c>
      <c r="AJ175" s="11">
        <f t="shared" ca="1" si="46"/>
        <v>1.8451068371750905</v>
      </c>
      <c r="AK175" s="11">
        <f t="shared" ca="1" si="47"/>
        <v>1.8451068371750905</v>
      </c>
    </row>
    <row r="176" spans="27:37" x14ac:dyDescent="0.2">
      <c r="AA176" s="21">
        <v>110</v>
      </c>
      <c r="AB176" s="11">
        <f t="shared" ca="1" si="39"/>
        <v>-197.05193778941242</v>
      </c>
      <c r="AC176" s="11">
        <f t="shared" ca="1" si="40"/>
        <v>-0.56351671597953534</v>
      </c>
      <c r="AD176" s="11" t="e">
        <f t="shared" ca="1" si="41"/>
        <v>#N/A</v>
      </c>
      <c r="AE176" s="11">
        <f t="shared" ca="1" si="48"/>
        <v>-0.56351671597953534</v>
      </c>
      <c r="AF176" s="11">
        <f t="shared" ca="1" si="42"/>
        <v>-0.56351671597953534</v>
      </c>
      <c r="AG176" s="11">
        <f t="shared" ca="1" si="43"/>
        <v>0</v>
      </c>
      <c r="AH176" s="11">
        <f t="shared" ca="1" si="45"/>
        <v>1.8278937007177234</v>
      </c>
      <c r="AI176" s="11" t="e">
        <f t="shared" ca="1" si="44"/>
        <v>#N/A</v>
      </c>
      <c r="AJ176" s="11">
        <f t="shared" ca="1" si="46"/>
        <v>1.8278937007177234</v>
      </c>
      <c r="AK176" s="11">
        <f t="shared" ca="1" si="47"/>
        <v>1.8278937007177234</v>
      </c>
    </row>
    <row r="177" spans="27:37" x14ac:dyDescent="0.2">
      <c r="AA177" s="21">
        <v>111</v>
      </c>
      <c r="AB177" s="11">
        <f t="shared" ca="1" si="39"/>
        <v>-202.42118048397884</v>
      </c>
      <c r="AC177" s="11">
        <f t="shared" ca="1" si="40"/>
        <v>-0.59293128305080445</v>
      </c>
      <c r="AD177" s="11" t="e">
        <f t="shared" ca="1" si="41"/>
        <v>#N/A</v>
      </c>
      <c r="AE177" s="11">
        <f t="shared" ca="1" si="48"/>
        <v>-0.59293128305080445</v>
      </c>
      <c r="AF177" s="11">
        <f t="shared" ca="1" si="42"/>
        <v>-0.59293128305080445</v>
      </c>
      <c r="AG177" s="11">
        <f t="shared" ca="1" si="43"/>
        <v>0</v>
      </c>
      <c r="AH177" s="11">
        <f t="shared" ca="1" si="45"/>
        <v>1.809859314849992</v>
      </c>
      <c r="AI177" s="11" t="e">
        <f t="shared" ca="1" si="44"/>
        <v>#N/A</v>
      </c>
      <c r="AJ177" s="11">
        <f t="shared" ca="1" si="46"/>
        <v>1.809859314849992</v>
      </c>
      <c r="AK177" s="11">
        <f t="shared" ca="1" si="47"/>
        <v>1.809859314849992</v>
      </c>
    </row>
    <row r="178" spans="27:37" x14ac:dyDescent="0.2">
      <c r="AA178" s="21">
        <v>112</v>
      </c>
      <c r="AB178" s="11">
        <f t="shared" ca="1" si="39"/>
        <v>-207.8832755985091</v>
      </c>
      <c r="AC178" s="11">
        <f t="shared" ca="1" si="40"/>
        <v>-0.62198519212452108</v>
      </c>
      <c r="AD178" s="11" t="e">
        <f t="shared" ca="1" si="41"/>
        <v>#N/A</v>
      </c>
      <c r="AE178" s="11">
        <f t="shared" ca="1" si="48"/>
        <v>-0.62198519212452108</v>
      </c>
      <c r="AF178" s="11">
        <f t="shared" ca="1" si="42"/>
        <v>-0.62198519212452108</v>
      </c>
      <c r="AG178" s="11">
        <f t="shared" ca="1" si="43"/>
        <v>0</v>
      </c>
      <c r="AH178" s="11">
        <f t="shared" ca="1" si="45"/>
        <v>1.7910127604282862</v>
      </c>
      <c r="AI178" s="11" t="e">
        <f t="shared" ca="1" si="44"/>
        <v>#N/A</v>
      </c>
      <c r="AJ178" s="11">
        <f t="shared" ca="1" si="46"/>
        <v>1.7910127604282862</v>
      </c>
      <c r="AK178" s="11">
        <f t="shared" ca="1" si="47"/>
        <v>1.7910127604282862</v>
      </c>
    </row>
    <row r="179" spans="27:37" x14ac:dyDescent="0.2">
      <c r="AA179" s="21">
        <v>113</v>
      </c>
      <c r="AB179" s="11">
        <f t="shared" ca="1" si="39"/>
        <v>-213.43895605622373</v>
      </c>
      <c r="AC179" s="11">
        <f t="shared" ca="1" si="40"/>
        <v>-0.65064997616892783</v>
      </c>
      <c r="AD179" s="11" t="e">
        <f t="shared" ca="1" si="41"/>
        <v>#N/A</v>
      </c>
      <c r="AE179" s="11">
        <f t="shared" ca="1" si="48"/>
        <v>-0.65064997616892783</v>
      </c>
      <c r="AF179" s="11">
        <f t="shared" ca="1" si="42"/>
        <v>-0.65064997616892783</v>
      </c>
      <c r="AG179" s="11">
        <f t="shared" ca="1" si="43"/>
        <v>0</v>
      </c>
      <c r="AH179" s="11">
        <f t="shared" ca="1" si="45"/>
        <v>1.7713635272603214</v>
      </c>
      <c r="AI179" s="11" t="e">
        <f t="shared" ca="1" si="44"/>
        <v>#N/A</v>
      </c>
      <c r="AJ179" s="11">
        <f t="shared" ca="1" si="46"/>
        <v>1.7713635272603214</v>
      </c>
      <c r="AK179" s="11">
        <f t="shared" ca="1" si="47"/>
        <v>1.7713635272603214</v>
      </c>
    </row>
    <row r="180" spans="27:37" x14ac:dyDescent="0.2">
      <c r="AA180" s="21">
        <v>114</v>
      </c>
      <c r="AB180" s="11">
        <f t="shared" ca="1" si="39"/>
        <v>-219.08895405856595</v>
      </c>
      <c r="AC180" s="11">
        <f t="shared" ca="1" si="40"/>
        <v>-0.67889647424263244</v>
      </c>
      <c r="AD180" s="11" t="e">
        <f t="shared" ca="1" si="41"/>
        <v>#N/A</v>
      </c>
      <c r="AE180" s="11">
        <f t="shared" ca="1" si="48"/>
        <v>-0.67889647424263244</v>
      </c>
      <c r="AF180" s="11">
        <f t="shared" ca="1" si="42"/>
        <v>-0.67889647424263244</v>
      </c>
      <c r="AG180" s="11">
        <f t="shared" ca="1" si="43"/>
        <v>0</v>
      </c>
      <c r="AH180" s="11">
        <f t="shared" ca="1" si="45"/>
        <v>1.7509215093267336</v>
      </c>
      <c r="AI180" s="11" t="e">
        <f t="shared" ca="1" si="44"/>
        <v>#N/A</v>
      </c>
      <c r="AJ180" s="11">
        <f t="shared" ca="1" si="46"/>
        <v>1.7509215093267336</v>
      </c>
      <c r="AK180" s="11">
        <f t="shared" ca="1" si="47"/>
        <v>1.7509215093267336</v>
      </c>
    </row>
    <row r="181" spans="27:37" x14ac:dyDescent="0.2">
      <c r="AA181" s="21">
        <v>115</v>
      </c>
      <c r="AB181" s="11">
        <f t="shared" ca="1" si="39"/>
        <v>-224.83400109220653</v>
      </c>
      <c r="AC181" s="11">
        <f t="shared" ca="1" si="40"/>
        <v>-0.70669484885227241</v>
      </c>
      <c r="AD181" s="11" t="e">
        <f t="shared" ca="1" si="41"/>
        <v>#N/A</v>
      </c>
      <c r="AE181" s="11">
        <f t="shared" ca="1" si="48"/>
        <v>-0.70669484885227241</v>
      </c>
      <c r="AF181" s="11">
        <f t="shared" ca="1" si="42"/>
        <v>-0.70669484885227241</v>
      </c>
      <c r="AG181" s="11">
        <f t="shared" ca="1" si="43"/>
        <v>0</v>
      </c>
      <c r="AH181" s="11">
        <f t="shared" ca="1" si="45"/>
        <v>1.7296969997991634</v>
      </c>
      <c r="AI181" s="11" t="e">
        <f t="shared" ca="1" si="44"/>
        <v>#N/A</v>
      </c>
      <c r="AJ181" s="11">
        <f t="shared" ca="1" si="46"/>
        <v>1.7296969997991634</v>
      </c>
      <c r="AK181" s="11">
        <f t="shared" ca="1" si="47"/>
        <v>1.7296969997991634</v>
      </c>
    </row>
    <row r="182" spans="27:37" x14ac:dyDescent="0.2">
      <c r="AA182" s="21">
        <v>116</v>
      </c>
      <c r="AB182" s="11">
        <f t="shared" ca="1" si="39"/>
        <v>-230.67482793592524</v>
      </c>
      <c r="AC182" s="11">
        <f t="shared" ca="1" si="40"/>
        <v>-0.73401460209627489</v>
      </c>
      <c r="AD182" s="11" t="e">
        <f t="shared" ca="1" si="41"/>
        <v>#N/A</v>
      </c>
      <c r="AE182" s="11">
        <f t="shared" ca="1" si="48"/>
        <v>-0.73401460209627489</v>
      </c>
      <c r="AF182" s="11">
        <f t="shared" ca="1" si="42"/>
        <v>-0.73401460209627489</v>
      </c>
      <c r="AG182" s="11">
        <f t="shared" ca="1" si="43"/>
        <v>0</v>
      </c>
      <c r="AH182" s="11">
        <f t="shared" ca="1" si="45"/>
        <v>1.707700685857334</v>
      </c>
      <c r="AI182" s="11" t="e">
        <f t="shared" ca="1" si="44"/>
        <v>#N/A</v>
      </c>
      <c r="AJ182" s="11">
        <f t="shared" ca="1" si="46"/>
        <v>1.707700685857334</v>
      </c>
      <c r="AK182" s="11">
        <f t="shared" ca="1" si="47"/>
        <v>1.707700685857334</v>
      </c>
    </row>
    <row r="183" spans="27:37" x14ac:dyDescent="0.2">
      <c r="AA183" s="21">
        <v>117</v>
      </c>
      <c r="AB183" s="11">
        <f t="shared" ca="1" si="39"/>
        <v>-236.61216466736374</v>
      </c>
      <c r="AC183" s="11">
        <f t="shared" ca="1" si="40"/>
        <v>-0.76082459072941278</v>
      </c>
      <c r="AD183" s="11" t="e">
        <f t="shared" ca="1" si="41"/>
        <v>#N/A</v>
      </c>
      <c r="AE183" s="11">
        <f t="shared" ca="1" si="48"/>
        <v>-0.76082459072941278</v>
      </c>
      <c r="AF183" s="11">
        <f t="shared" ca="1" si="42"/>
        <v>-0.76082459072941278</v>
      </c>
      <c r="AG183" s="11">
        <f t="shared" ca="1" si="43"/>
        <v>0</v>
      </c>
      <c r="AH183" s="11">
        <f t="shared" ca="1" si="45"/>
        <v>1.6849436433077341</v>
      </c>
      <c r="AI183" s="11" t="e">
        <f t="shared" ca="1" si="44"/>
        <v>#N/A</v>
      </c>
      <c r="AJ183" s="11">
        <f t="shared" ca="1" si="46"/>
        <v>1.6849436433077341</v>
      </c>
      <c r="AK183" s="11">
        <f t="shared" ca="1" si="47"/>
        <v>1.6849436433077341</v>
      </c>
    </row>
    <row r="184" spans="27:37" x14ac:dyDescent="0.2">
      <c r="AA184" s="21">
        <v>118</v>
      </c>
      <c r="AB184" s="11">
        <f t="shared" ca="1" si="39"/>
        <v>-242.6467406696604</v>
      </c>
      <c r="AC184" s="11">
        <f t="shared" ca="1" si="40"/>
        <v>-0.78709304026283711</v>
      </c>
      <c r="AD184" s="11" t="e">
        <f t="shared" ca="1" si="41"/>
        <v>#N/A</v>
      </c>
      <c r="AE184" s="11">
        <f t="shared" ca="1" si="48"/>
        <v>-0.78709304026283711</v>
      </c>
      <c r="AF184" s="11">
        <f t="shared" ca="1" si="42"/>
        <v>-0.78709304026283711</v>
      </c>
      <c r="AG184" s="11">
        <f t="shared" ca="1" si="43"/>
        <v>0</v>
      </c>
      <c r="AH184" s="11">
        <f t="shared" ca="1" si="45"/>
        <v>1.6614373310066148</v>
      </c>
      <c r="AI184" s="11" t="e">
        <f t="shared" ca="1" si="44"/>
        <v>#N/A</v>
      </c>
      <c r="AJ184" s="11">
        <f t="shared" ca="1" si="46"/>
        <v>1.6614373310066148</v>
      </c>
      <c r="AK184" s="11">
        <f t="shared" ca="1" si="47"/>
        <v>1.6614373310066148</v>
      </c>
    </row>
    <row r="185" spans="27:37" x14ac:dyDescent="0.2">
      <c r="AA185" s="21">
        <v>119</v>
      </c>
      <c r="AB185" s="11">
        <f t="shared" ca="1" si="39"/>
        <v>-248.779284637963</v>
      </c>
      <c r="AC185" s="11">
        <f t="shared" ca="1" si="40"/>
        <v>-0.81278755819792381</v>
      </c>
      <c r="AD185" s="11" t="e">
        <f t="shared" ca="1" si="41"/>
        <v>#N/A</v>
      </c>
      <c r="AE185" s="11">
        <f t="shared" ca="1" si="48"/>
        <v>-0.81278755819792381</v>
      </c>
      <c r="AF185" s="11">
        <f t="shared" ca="1" si="42"/>
        <v>-0.81278755819792381</v>
      </c>
      <c r="AG185" s="11">
        <f t="shared" ca="1" si="43"/>
        <v>0</v>
      </c>
      <c r="AH185" s="11">
        <f t="shared" ca="1" si="45"/>
        <v>1.6371935850901127</v>
      </c>
      <c r="AI185" s="11" t="e">
        <f t="shared" ca="1" si="44"/>
        <v>#N/A</v>
      </c>
      <c r="AJ185" s="11">
        <f t="shared" ca="1" si="46"/>
        <v>1.6371935850901127</v>
      </c>
      <c r="AK185" s="11">
        <f t="shared" ca="1" si="47"/>
        <v>1.6371935850901127</v>
      </c>
    </row>
    <row r="186" spans="27:37" x14ac:dyDescent="0.2">
      <c r="AA186" s="21">
        <v>120</v>
      </c>
      <c r="AB186" s="11">
        <f t="shared" ca="1" si="39"/>
        <v>-255.0105245858305</v>
      </c>
      <c r="AC186" s="11">
        <f t="shared" ca="1" si="40"/>
        <v>-0.83787514647880335</v>
      </c>
      <c r="AD186" s="11" t="e">
        <f t="shared" ca="1" si="41"/>
        <v>#N/A</v>
      </c>
      <c r="AE186" s="11">
        <f t="shared" ca="1" si="48"/>
        <v>-0.83787514647880335</v>
      </c>
      <c r="AF186" s="11">
        <f t="shared" ca="1" si="42"/>
        <v>-0.83787514647880335</v>
      </c>
      <c r="AG186" s="11">
        <f t="shared" ca="1" si="43"/>
        <v>0</v>
      </c>
      <c r="AH186" s="11">
        <f t="shared" ca="1" si="45"/>
        <v>1.6122246130143965</v>
      </c>
      <c r="AI186" s="11" t="e">
        <f t="shared" ca="1" si="44"/>
        <v>#N/A</v>
      </c>
      <c r="AJ186" s="11">
        <f t="shared" ca="1" si="46"/>
        <v>1.6122246130143965</v>
      </c>
      <c r="AK186" s="11">
        <f t="shared" ca="1" si="47"/>
        <v>1.6122246130143965</v>
      </c>
    </row>
    <row r="187" spans="27:37" x14ac:dyDescent="0.2">
      <c r="AA187" s="21"/>
      <c r="AB187" s="11"/>
      <c r="AC187" s="11"/>
      <c r="AD187" s="11"/>
      <c r="AE187" s="11"/>
      <c r="AF187" s="11"/>
      <c r="AG187" s="11"/>
      <c r="AH187" s="11"/>
      <c r="AI187" s="11"/>
      <c r="AJ187" s="11"/>
      <c r="AK187" s="11"/>
    </row>
    <row r="188" spans="27:37" x14ac:dyDescent="0.2">
      <c r="AA188" s="21"/>
      <c r="AB188" s="11"/>
      <c r="AC188" s="11"/>
      <c r="AD188" s="11"/>
      <c r="AE188" s="11"/>
      <c r="AF188" s="11"/>
      <c r="AG188" s="11"/>
      <c r="AH188" s="11"/>
      <c r="AI188" s="11"/>
      <c r="AJ188" s="11"/>
      <c r="AK188" s="11"/>
    </row>
    <row r="189" spans="27:37" x14ac:dyDescent="0.2">
      <c r="AA189" s="21"/>
      <c r="AB189" s="11"/>
      <c r="AC189" s="11"/>
      <c r="AD189" s="11"/>
      <c r="AE189" s="11"/>
      <c r="AF189" s="11"/>
      <c r="AG189" s="11"/>
      <c r="AH189" s="11"/>
      <c r="AI189" s="11"/>
      <c r="AJ189" s="11"/>
      <c r="AK189" s="11"/>
    </row>
    <row r="190" spans="27:37" x14ac:dyDescent="0.2">
      <c r="AA190" s="21"/>
      <c r="AB190" s="11"/>
      <c r="AC190" s="11"/>
      <c r="AD190" s="11"/>
      <c r="AE190" s="11"/>
      <c r="AF190" s="11"/>
      <c r="AG190" s="11"/>
      <c r="AH190" s="11"/>
      <c r="AI190" s="11"/>
      <c r="AJ190" s="11"/>
      <c r="AK190" s="11"/>
    </row>
    <row r="191" spans="27:37" x14ac:dyDescent="0.2">
      <c r="AA191" s="21"/>
      <c r="AB191" s="11"/>
      <c r="AC191" s="11"/>
      <c r="AD191" s="11"/>
      <c r="AE191" s="11"/>
      <c r="AF191" s="11"/>
      <c r="AG191" s="11"/>
      <c r="AH191" s="11"/>
      <c r="AI191" s="11"/>
      <c r="AJ191" s="11"/>
      <c r="AK191" s="11"/>
    </row>
    <row r="192" spans="27:37" x14ac:dyDescent="0.2">
      <c r="AA192" s="21"/>
      <c r="AB192" s="11"/>
      <c r="AC192" s="11"/>
      <c r="AD192" s="11"/>
      <c r="AE192" s="11"/>
      <c r="AF192" s="11"/>
      <c r="AG192" s="11"/>
      <c r="AH192" s="11"/>
      <c r="AI192" s="11"/>
      <c r="AJ192" s="11"/>
      <c r="AK192" s="11"/>
    </row>
    <row r="193" spans="27:37" x14ac:dyDescent="0.2">
      <c r="AA193" s="21"/>
      <c r="AB193" s="11"/>
      <c r="AC193" s="11"/>
      <c r="AD193" s="11"/>
      <c r="AE193" s="11"/>
      <c r="AF193" s="11"/>
      <c r="AG193" s="11"/>
      <c r="AH193" s="11"/>
      <c r="AI193" s="11"/>
      <c r="AJ193" s="11"/>
      <c r="AK193" s="11"/>
    </row>
    <row r="194" spans="27:37" x14ac:dyDescent="0.2">
      <c r="AA194" s="21"/>
      <c r="AB194" s="11"/>
      <c r="AC194" s="11"/>
      <c r="AD194" s="11"/>
      <c r="AE194" s="11"/>
      <c r="AF194" s="11"/>
      <c r="AG194" s="11"/>
      <c r="AH194" s="11"/>
      <c r="AI194" s="11"/>
      <c r="AJ194" s="11"/>
      <c r="AK194" s="11"/>
    </row>
    <row r="195" spans="27:37" x14ac:dyDescent="0.2">
      <c r="AA195" s="21"/>
      <c r="AB195" s="11"/>
      <c r="AC195" s="11"/>
      <c r="AD195" s="11"/>
      <c r="AE195" s="11"/>
      <c r="AF195" s="11"/>
      <c r="AG195" s="11"/>
      <c r="AH195" s="11"/>
      <c r="AI195" s="11"/>
      <c r="AJ195" s="11"/>
      <c r="AK195" s="11"/>
    </row>
    <row r="196" spans="27:37" x14ac:dyDescent="0.2">
      <c r="AA196" s="21"/>
      <c r="AB196" s="11"/>
      <c r="AC196" s="11"/>
      <c r="AD196" s="11"/>
      <c r="AE196" s="11"/>
      <c r="AF196" s="11"/>
      <c r="AG196" s="11"/>
      <c r="AH196" s="11"/>
      <c r="AI196" s="11"/>
      <c r="AJ196" s="11"/>
      <c r="AK196" s="11"/>
    </row>
    <row r="197" spans="27:37" x14ac:dyDescent="0.2">
      <c r="AA197" s="21"/>
      <c r="AB197" s="11"/>
      <c r="AC197" s="11"/>
      <c r="AD197" s="11"/>
      <c r="AE197" s="11"/>
      <c r="AF197" s="11"/>
      <c r="AG197" s="11"/>
      <c r="AH197" s="11"/>
      <c r="AI197" s="11"/>
      <c r="AJ197" s="11"/>
      <c r="AK197" s="11"/>
    </row>
    <row r="198" spans="27:37" x14ac:dyDescent="0.2">
      <c r="AA198" s="21"/>
      <c r="AB198" s="11"/>
      <c r="AC198" s="11"/>
      <c r="AD198" s="11"/>
      <c r="AE198" s="11"/>
      <c r="AF198" s="11"/>
      <c r="AG198" s="11"/>
      <c r="AH198" s="11"/>
      <c r="AI198" s="11"/>
      <c r="AJ198" s="11"/>
      <c r="AK198" s="11"/>
    </row>
    <row r="199" spans="27:37" x14ac:dyDescent="0.2">
      <c r="AA199" s="21"/>
      <c r="AB199" s="11"/>
      <c r="AC199" s="11"/>
      <c r="AD199" s="11"/>
      <c r="AE199" s="11"/>
      <c r="AF199" s="11"/>
      <c r="AG199" s="11"/>
      <c r="AH199" s="11"/>
      <c r="AI199" s="11"/>
      <c r="AJ199" s="11"/>
      <c r="AK199" s="11"/>
    </row>
    <row r="200" spans="27:37" x14ac:dyDescent="0.2">
      <c r="AA200" s="21"/>
      <c r="AB200" s="11"/>
      <c r="AC200" s="11"/>
      <c r="AD200" s="11"/>
      <c r="AE200" s="11"/>
      <c r="AF200" s="11"/>
      <c r="AG200" s="11"/>
      <c r="AH200" s="11"/>
      <c r="AI200" s="11"/>
      <c r="AJ200" s="11"/>
      <c r="AK200" s="11"/>
    </row>
    <row r="201" spans="27:37" x14ac:dyDescent="0.2">
      <c r="AA201" s="21"/>
      <c r="AB201" s="11"/>
      <c r="AC201" s="11"/>
      <c r="AD201" s="11"/>
      <c r="AE201" s="11"/>
      <c r="AF201" s="11"/>
      <c r="AG201" s="11"/>
      <c r="AH201" s="11"/>
      <c r="AI201" s="11"/>
      <c r="AJ201" s="11"/>
      <c r="AK201" s="11"/>
    </row>
    <row r="202" spans="27:37" x14ac:dyDescent="0.2">
      <c r="AA202" s="21"/>
      <c r="AB202" s="11"/>
      <c r="AC202" s="11"/>
      <c r="AD202" s="11"/>
      <c r="AE202" s="11"/>
      <c r="AF202" s="11"/>
      <c r="AG202" s="11"/>
      <c r="AH202" s="11"/>
      <c r="AI202" s="11"/>
      <c r="AJ202" s="11"/>
      <c r="AK202" s="11"/>
    </row>
    <row r="203" spans="27:37" x14ac:dyDescent="0.2">
      <c r="AA203" s="21"/>
      <c r="AB203" s="11"/>
      <c r="AC203" s="11"/>
      <c r="AD203" s="11"/>
      <c r="AE203" s="11"/>
      <c r="AF203" s="11"/>
      <c r="AG203" s="11"/>
      <c r="AH203" s="11"/>
      <c r="AI203" s="11"/>
      <c r="AJ203" s="11"/>
      <c r="AK203" s="11"/>
    </row>
    <row r="204" spans="27:37" x14ac:dyDescent="0.2">
      <c r="AA204" s="21"/>
      <c r="AB204" s="11"/>
      <c r="AC204" s="11"/>
      <c r="AD204" s="11"/>
      <c r="AE204" s="11"/>
      <c r="AF204" s="11"/>
      <c r="AG204" s="11"/>
      <c r="AH204" s="11"/>
      <c r="AI204" s="11"/>
      <c r="AJ204" s="11"/>
      <c r="AK204" s="11"/>
    </row>
    <row r="205" spans="27:37" x14ac:dyDescent="0.2">
      <c r="AA205" s="21"/>
      <c r="AB205" s="11"/>
      <c r="AC205" s="11"/>
      <c r="AD205" s="11"/>
      <c r="AE205" s="11"/>
      <c r="AF205" s="11"/>
      <c r="AG205" s="11"/>
      <c r="AH205" s="11"/>
      <c r="AI205" s="11"/>
      <c r="AJ205" s="11"/>
      <c r="AK205" s="11"/>
    </row>
    <row r="206" spans="27:37" x14ac:dyDescent="0.2">
      <c r="AA206" s="21"/>
      <c r="AB206" s="11"/>
      <c r="AC206" s="11"/>
      <c r="AD206" s="11"/>
      <c r="AE206" s="11"/>
      <c r="AF206" s="11"/>
      <c r="AG206" s="11"/>
      <c r="AH206" s="11"/>
      <c r="AI206" s="11"/>
      <c r="AJ206" s="11"/>
      <c r="AK206" s="11"/>
    </row>
    <row r="207" spans="27:37" x14ac:dyDescent="0.2">
      <c r="AA207" s="21"/>
      <c r="AB207" s="11"/>
      <c r="AC207" s="11"/>
      <c r="AD207" s="11"/>
      <c r="AE207" s="11"/>
      <c r="AF207" s="11"/>
      <c r="AG207" s="11"/>
      <c r="AH207" s="11"/>
      <c r="AI207" s="11"/>
      <c r="AJ207" s="11"/>
      <c r="AK207" s="11"/>
    </row>
    <row r="208" spans="27:37" x14ac:dyDescent="0.2">
      <c r="AA208" s="21"/>
      <c r="AB208" s="11"/>
      <c r="AC208" s="11"/>
      <c r="AD208" s="11"/>
      <c r="AE208" s="11"/>
      <c r="AF208" s="11"/>
      <c r="AG208" s="11"/>
      <c r="AH208" s="11"/>
      <c r="AI208" s="11"/>
      <c r="AJ208" s="11"/>
      <c r="AK208" s="11"/>
    </row>
    <row r="209" spans="27:37" x14ac:dyDescent="0.2">
      <c r="AA209" s="21"/>
      <c r="AB209" s="11"/>
      <c r="AC209" s="11"/>
      <c r="AD209" s="11"/>
      <c r="AE209" s="11"/>
      <c r="AF209" s="11"/>
      <c r="AG209" s="11"/>
      <c r="AH209" s="11"/>
      <c r="AI209" s="11"/>
      <c r="AJ209" s="11"/>
      <c r="AK209" s="11"/>
    </row>
    <row r="210" spans="27:37" x14ac:dyDescent="0.2">
      <c r="AA210" s="21"/>
      <c r="AB210" s="11"/>
      <c r="AC210" s="11"/>
      <c r="AD210" s="11"/>
      <c r="AE210" s="11"/>
      <c r="AF210" s="11"/>
      <c r="AG210" s="11"/>
      <c r="AH210" s="11"/>
      <c r="AI210" s="11"/>
      <c r="AJ210" s="11"/>
      <c r="AK210" s="11"/>
    </row>
    <row r="211" spans="27:37" x14ac:dyDescent="0.2">
      <c r="AA211" s="21"/>
      <c r="AB211" s="11"/>
      <c r="AC211" s="11"/>
      <c r="AD211" s="11"/>
      <c r="AE211" s="11"/>
      <c r="AF211" s="11"/>
      <c r="AG211" s="11"/>
      <c r="AH211" s="11"/>
      <c r="AI211" s="11"/>
      <c r="AJ211" s="11"/>
      <c r="AK211" s="11"/>
    </row>
    <row r="212" spans="27:37" x14ac:dyDescent="0.2">
      <c r="AA212" s="21"/>
      <c r="AB212" s="11"/>
      <c r="AC212" s="11"/>
      <c r="AD212" s="11"/>
      <c r="AE212" s="11"/>
      <c r="AF212" s="11"/>
      <c r="AG212" s="11"/>
      <c r="AH212" s="11"/>
      <c r="AI212" s="11"/>
      <c r="AJ212" s="11"/>
      <c r="AK212" s="11"/>
    </row>
    <row r="213" spans="27:37" x14ac:dyDescent="0.2">
      <c r="AA213" s="21"/>
      <c r="AB213" s="11"/>
      <c r="AC213" s="11"/>
      <c r="AD213" s="11"/>
      <c r="AE213" s="11"/>
      <c r="AF213" s="11"/>
      <c r="AG213" s="11"/>
      <c r="AH213" s="11"/>
      <c r="AI213" s="11"/>
      <c r="AJ213" s="11"/>
      <c r="AK213" s="11"/>
    </row>
    <row r="214" spans="27:37" x14ac:dyDescent="0.2">
      <c r="AA214" s="21"/>
      <c r="AB214" s="11"/>
      <c r="AC214" s="11"/>
      <c r="AD214" s="11"/>
      <c r="AE214" s="11"/>
      <c r="AF214" s="11"/>
      <c r="AG214" s="11"/>
      <c r="AH214" s="11"/>
      <c r="AI214" s="11"/>
      <c r="AJ214" s="11"/>
      <c r="AK214" s="11"/>
    </row>
    <row r="215" spans="27:37" x14ac:dyDescent="0.2">
      <c r="AA215" s="21"/>
      <c r="AB215" s="11"/>
      <c r="AC215" s="11"/>
      <c r="AD215" s="11"/>
      <c r="AE215" s="11"/>
      <c r="AF215" s="11"/>
      <c r="AG215" s="11"/>
      <c r="AH215" s="11"/>
      <c r="AI215" s="11"/>
      <c r="AJ215" s="11"/>
      <c r="AK215" s="11"/>
    </row>
    <row r="216" spans="27:37" x14ac:dyDescent="0.2">
      <c r="AA216" s="21"/>
      <c r="AB216" s="11"/>
      <c r="AC216" s="11"/>
      <c r="AD216" s="11"/>
      <c r="AE216" s="11"/>
      <c r="AF216" s="11"/>
      <c r="AG216" s="11"/>
      <c r="AH216" s="11"/>
      <c r="AI216" s="11"/>
      <c r="AJ216" s="11"/>
      <c r="AK216" s="11"/>
    </row>
    <row r="217" spans="27:37" x14ac:dyDescent="0.2">
      <c r="AA217" s="21"/>
      <c r="AB217" s="11"/>
      <c r="AC217" s="11"/>
      <c r="AD217" s="11"/>
      <c r="AE217" s="11"/>
      <c r="AF217" s="11"/>
      <c r="AG217" s="11"/>
      <c r="AH217" s="11"/>
      <c r="AI217" s="11"/>
      <c r="AJ217" s="11"/>
      <c r="AK217" s="11"/>
    </row>
    <row r="218" spans="27:37" x14ac:dyDescent="0.2">
      <c r="AA218" s="21"/>
      <c r="AB218" s="11"/>
      <c r="AC218" s="11"/>
      <c r="AD218" s="11"/>
      <c r="AE218" s="11"/>
      <c r="AF218" s="11"/>
      <c r="AG218" s="11"/>
      <c r="AH218" s="11"/>
      <c r="AI218" s="11"/>
      <c r="AJ218" s="11"/>
      <c r="AK218" s="11"/>
    </row>
    <row r="219" spans="27:37" x14ac:dyDescent="0.2">
      <c r="AA219" s="21"/>
      <c r="AB219" s="11"/>
      <c r="AC219" s="11"/>
      <c r="AD219" s="11"/>
      <c r="AE219" s="11"/>
      <c r="AF219" s="11"/>
      <c r="AG219" s="11"/>
      <c r="AH219" s="11"/>
      <c r="AI219" s="11"/>
      <c r="AJ219" s="11"/>
      <c r="AK219" s="11"/>
    </row>
    <row r="220" spans="27:37" x14ac:dyDescent="0.2">
      <c r="AA220" s="21"/>
      <c r="AB220" s="11"/>
      <c r="AC220" s="11"/>
      <c r="AD220" s="11"/>
      <c r="AE220" s="11"/>
      <c r="AF220" s="11"/>
      <c r="AG220" s="11"/>
      <c r="AH220" s="11"/>
      <c r="AI220" s="11"/>
      <c r="AJ220" s="11"/>
      <c r="AK220" s="11"/>
    </row>
    <row r="221" spans="27:37" x14ac:dyDescent="0.2">
      <c r="AA221" s="21"/>
      <c r="AB221" s="11"/>
      <c r="AC221" s="11"/>
      <c r="AD221" s="11"/>
      <c r="AE221" s="11"/>
      <c r="AF221" s="11"/>
      <c r="AG221" s="11"/>
      <c r="AH221" s="11"/>
      <c r="AI221" s="11"/>
      <c r="AJ221" s="11"/>
      <c r="AK221" s="11"/>
    </row>
    <row r="222" spans="27:37" x14ac:dyDescent="0.2">
      <c r="AA222" s="21"/>
      <c r="AB222" s="11"/>
      <c r="AC222" s="11"/>
      <c r="AD222" s="11"/>
      <c r="AE222" s="11"/>
      <c r="AF222" s="11"/>
      <c r="AG222" s="11"/>
      <c r="AH222" s="11"/>
      <c r="AI222" s="11"/>
      <c r="AJ222" s="11"/>
      <c r="AK222" s="11"/>
    </row>
    <row r="223" spans="27:37" x14ac:dyDescent="0.2">
      <c r="AA223" s="21"/>
      <c r="AB223" s="11"/>
      <c r="AC223" s="11"/>
      <c r="AD223" s="11"/>
      <c r="AE223" s="11"/>
      <c r="AF223" s="11"/>
      <c r="AG223" s="11"/>
      <c r="AH223" s="11"/>
      <c r="AI223" s="11"/>
      <c r="AJ223" s="11"/>
      <c r="AK223" s="11"/>
    </row>
    <row r="224" spans="27:37" x14ac:dyDescent="0.2">
      <c r="AA224" s="21"/>
      <c r="AB224" s="11"/>
      <c r="AC224" s="11"/>
      <c r="AD224" s="11"/>
      <c r="AE224" s="11"/>
      <c r="AF224" s="11"/>
      <c r="AG224" s="11"/>
      <c r="AH224" s="11"/>
      <c r="AI224" s="11"/>
      <c r="AJ224" s="11"/>
      <c r="AK224" s="11"/>
    </row>
    <row r="225" spans="27:37" x14ac:dyDescent="0.2">
      <c r="AA225" s="21"/>
      <c r="AB225" s="11"/>
      <c r="AC225" s="11"/>
      <c r="AD225" s="11"/>
      <c r="AE225" s="11"/>
      <c r="AF225" s="11"/>
      <c r="AG225" s="11"/>
      <c r="AH225" s="11"/>
      <c r="AI225" s="11"/>
      <c r="AJ225" s="11"/>
      <c r="AK225" s="11"/>
    </row>
    <row r="226" spans="27:37" x14ac:dyDescent="0.2">
      <c r="AA226" s="21"/>
      <c r="AB226" s="11"/>
      <c r="AC226" s="11"/>
      <c r="AD226" s="11"/>
      <c r="AE226" s="11"/>
      <c r="AF226" s="11"/>
      <c r="AG226" s="11"/>
      <c r="AH226" s="11"/>
      <c r="AI226" s="11"/>
      <c r="AJ226" s="11"/>
      <c r="AK226" s="11"/>
    </row>
    <row r="227" spans="27:37" x14ac:dyDescent="0.2">
      <c r="AA227" s="21"/>
      <c r="AB227" s="11"/>
      <c r="AC227" s="11"/>
      <c r="AD227" s="11"/>
      <c r="AE227" s="11"/>
      <c r="AF227" s="11"/>
      <c r="AG227" s="11"/>
      <c r="AH227" s="11"/>
      <c r="AI227" s="11"/>
      <c r="AJ227" s="11"/>
      <c r="AK227" s="11"/>
    </row>
    <row r="228" spans="27:37" x14ac:dyDescent="0.2">
      <c r="AA228" s="21"/>
      <c r="AB228" s="11"/>
      <c r="AC228" s="11"/>
      <c r="AD228" s="11"/>
      <c r="AE228" s="11"/>
      <c r="AF228" s="11"/>
      <c r="AG228" s="11"/>
      <c r="AH228" s="11"/>
      <c r="AI228" s="11"/>
      <c r="AJ228" s="11"/>
      <c r="AK228" s="11"/>
    </row>
    <row r="229" spans="27:37" x14ac:dyDescent="0.2">
      <c r="AA229" s="21"/>
      <c r="AB229" s="11"/>
      <c r="AC229" s="11"/>
      <c r="AD229" s="11"/>
      <c r="AE229" s="11"/>
      <c r="AF229" s="11"/>
      <c r="AG229" s="11"/>
      <c r="AH229" s="11"/>
      <c r="AI229" s="11"/>
      <c r="AJ229" s="11"/>
      <c r="AK229" s="11"/>
    </row>
    <row r="230" spans="27:37" x14ac:dyDescent="0.2">
      <c r="AA230" s="21"/>
      <c r="AB230" s="11"/>
      <c r="AC230" s="11"/>
      <c r="AD230" s="11"/>
      <c r="AE230" s="11"/>
      <c r="AF230" s="11"/>
      <c r="AG230" s="11"/>
      <c r="AH230" s="11"/>
      <c r="AI230" s="11"/>
      <c r="AJ230" s="11"/>
      <c r="AK230" s="11"/>
    </row>
    <row r="231" spans="27:37" x14ac:dyDescent="0.2">
      <c r="AA231" s="21"/>
      <c r="AB231" s="11"/>
      <c r="AC231" s="11"/>
      <c r="AD231" s="11"/>
      <c r="AE231" s="11"/>
      <c r="AF231" s="11"/>
      <c r="AG231" s="11"/>
      <c r="AH231" s="11"/>
      <c r="AI231" s="11"/>
      <c r="AJ231" s="11"/>
      <c r="AK231" s="11"/>
    </row>
    <row r="232" spans="27:37" x14ac:dyDescent="0.2">
      <c r="AA232" s="21"/>
      <c r="AB232" s="11"/>
      <c r="AC232" s="11"/>
      <c r="AD232" s="11"/>
      <c r="AE232" s="11"/>
      <c r="AF232" s="11"/>
      <c r="AG232" s="11"/>
      <c r="AH232" s="11"/>
      <c r="AI232" s="11"/>
      <c r="AJ232" s="11"/>
      <c r="AK232" s="11"/>
    </row>
    <row r="233" spans="27:37" x14ac:dyDescent="0.2">
      <c r="AA233" s="21"/>
      <c r="AB233" s="11"/>
      <c r="AC233" s="11"/>
      <c r="AD233" s="11"/>
      <c r="AE233" s="11"/>
      <c r="AF233" s="11"/>
      <c r="AG233" s="11"/>
      <c r="AH233" s="11"/>
      <c r="AI233" s="11"/>
      <c r="AJ233" s="11"/>
      <c r="AK233" s="11"/>
    </row>
    <row r="234" spans="27:37" x14ac:dyDescent="0.2">
      <c r="AA234" s="21"/>
      <c r="AB234" s="11"/>
      <c r="AC234" s="11"/>
      <c r="AD234" s="11"/>
      <c r="AE234" s="11"/>
      <c r="AF234" s="11"/>
      <c r="AG234" s="11"/>
      <c r="AH234" s="11"/>
      <c r="AI234" s="11"/>
      <c r="AJ234" s="11"/>
      <c r="AK234" s="11"/>
    </row>
    <row r="235" spans="27:37" x14ac:dyDescent="0.2">
      <c r="AA235" s="21"/>
      <c r="AB235" s="11"/>
      <c r="AC235" s="11"/>
      <c r="AD235" s="11"/>
      <c r="AE235" s="11"/>
      <c r="AF235" s="11"/>
      <c r="AG235" s="11"/>
      <c r="AH235" s="11"/>
      <c r="AI235" s="11"/>
      <c r="AJ235" s="11"/>
      <c r="AK235" s="11"/>
    </row>
    <row r="236" spans="27:37" x14ac:dyDescent="0.2">
      <c r="AA236" s="21"/>
      <c r="AB236" s="11"/>
      <c r="AC236" s="11"/>
      <c r="AD236" s="11"/>
      <c r="AE236" s="11"/>
      <c r="AF236" s="11"/>
      <c r="AG236" s="11"/>
      <c r="AH236" s="11"/>
      <c r="AI236" s="11"/>
      <c r="AJ236" s="11"/>
      <c r="AK236" s="11"/>
    </row>
    <row r="237" spans="27:37" x14ac:dyDescent="0.2">
      <c r="AA237" s="21"/>
      <c r="AB237" s="11"/>
      <c r="AC237" s="11"/>
      <c r="AD237" s="11"/>
      <c r="AE237" s="11"/>
      <c r="AF237" s="11"/>
      <c r="AG237" s="11"/>
      <c r="AH237" s="11"/>
      <c r="AI237" s="11"/>
      <c r="AJ237" s="11"/>
      <c r="AK237" s="11"/>
    </row>
    <row r="238" spans="27:37" x14ac:dyDescent="0.2">
      <c r="AA238" s="21"/>
      <c r="AB238" s="11"/>
      <c r="AC238" s="11"/>
      <c r="AD238" s="11"/>
      <c r="AE238" s="11"/>
      <c r="AF238" s="11"/>
      <c r="AG238" s="11"/>
      <c r="AH238" s="11"/>
      <c r="AI238" s="11"/>
      <c r="AJ238" s="11"/>
      <c r="AK238" s="11"/>
    </row>
    <row r="239" spans="27:37" x14ac:dyDescent="0.2">
      <c r="AA239" s="21"/>
      <c r="AB239" s="11"/>
      <c r="AC239" s="11"/>
      <c r="AD239" s="11"/>
      <c r="AE239" s="11"/>
      <c r="AF239" s="11"/>
      <c r="AG239" s="11"/>
      <c r="AH239" s="11"/>
      <c r="AI239" s="11"/>
      <c r="AJ239" s="11"/>
      <c r="AK239" s="11"/>
    </row>
    <row r="240" spans="27:37" x14ac:dyDescent="0.2">
      <c r="AA240" s="21"/>
      <c r="AB240" s="11"/>
      <c r="AC240" s="11"/>
      <c r="AD240" s="11"/>
      <c r="AE240" s="11"/>
      <c r="AF240" s="11"/>
      <c r="AG240" s="11"/>
      <c r="AH240" s="11"/>
      <c r="AI240" s="11"/>
      <c r="AJ240" s="11"/>
      <c r="AK240" s="11"/>
    </row>
    <row r="241" spans="27:37" x14ac:dyDescent="0.2">
      <c r="AA241" s="21"/>
      <c r="AB241" s="11"/>
      <c r="AC241" s="11"/>
      <c r="AD241" s="11"/>
      <c r="AE241" s="11"/>
      <c r="AF241" s="11"/>
      <c r="AG241" s="11"/>
      <c r="AH241" s="11"/>
      <c r="AI241" s="11"/>
      <c r="AJ241" s="11"/>
      <c r="AK241" s="11"/>
    </row>
    <row r="242" spans="27:37" x14ac:dyDescent="0.2">
      <c r="AA242" s="21"/>
      <c r="AB242" s="11"/>
      <c r="AC242" s="11"/>
      <c r="AD242" s="11"/>
      <c r="AE242" s="11"/>
      <c r="AF242" s="11"/>
      <c r="AG242" s="11"/>
      <c r="AH242" s="11"/>
      <c r="AI242" s="11"/>
      <c r="AJ242" s="11"/>
      <c r="AK242" s="11"/>
    </row>
    <row r="243" spans="27:37" x14ac:dyDescent="0.2">
      <c r="AA243" s="21"/>
      <c r="AB243" s="11"/>
      <c r="AC243" s="11"/>
      <c r="AD243" s="11"/>
      <c r="AE243" s="11"/>
      <c r="AF243" s="11"/>
      <c r="AG243" s="11"/>
      <c r="AH243" s="11"/>
      <c r="AI243" s="11"/>
      <c r="AJ243" s="11"/>
      <c r="AK243" s="11"/>
    </row>
    <row r="244" spans="27:37" x14ac:dyDescent="0.2">
      <c r="AA244" s="21"/>
      <c r="AB244" s="11"/>
      <c r="AC244" s="11"/>
      <c r="AD244" s="11"/>
      <c r="AE244" s="11"/>
      <c r="AF244" s="11"/>
      <c r="AG244" s="11"/>
      <c r="AH244" s="11"/>
      <c r="AI244" s="11"/>
      <c r="AJ244" s="11"/>
      <c r="AK244" s="11"/>
    </row>
    <row r="245" spans="27:37" x14ac:dyDescent="0.2">
      <c r="AA245" s="21"/>
      <c r="AB245" s="11"/>
      <c r="AC245" s="11"/>
      <c r="AD245" s="11"/>
      <c r="AE245" s="11"/>
      <c r="AF245" s="11"/>
      <c r="AG245" s="11"/>
      <c r="AH245" s="11"/>
      <c r="AI245" s="11"/>
      <c r="AJ245" s="11"/>
      <c r="AK245" s="11"/>
    </row>
    <row r="246" spans="27:37" x14ac:dyDescent="0.2">
      <c r="AA246" s="21"/>
      <c r="AB246" s="11"/>
      <c r="AC246" s="11"/>
      <c r="AD246" s="11"/>
      <c r="AE246" s="11"/>
      <c r="AF246" s="11"/>
      <c r="AG246" s="11"/>
      <c r="AH246" s="11"/>
      <c r="AI246" s="11"/>
      <c r="AJ246" s="11"/>
      <c r="AK246" s="11"/>
    </row>
    <row r="247" spans="27:37" x14ac:dyDescent="0.2">
      <c r="AK247" s="11"/>
    </row>
  </sheetData>
  <sheetProtection sheet="1" objects="1" scenarios="1"/>
  <mergeCells count="40">
    <mergeCell ref="P23:Q24"/>
    <mergeCell ref="R23:S24"/>
    <mergeCell ref="AA31:AK33"/>
    <mergeCell ref="AD34:AD35"/>
    <mergeCell ref="AE34:AE35"/>
    <mergeCell ref="AA34:AA35"/>
    <mergeCell ref="AB34:AB35"/>
    <mergeCell ref="AC34:AC35"/>
    <mergeCell ref="AK34:AK35"/>
    <mergeCell ref="AF34:AF35"/>
    <mergeCell ref="AG34:AG35"/>
    <mergeCell ref="AH34:AH35"/>
    <mergeCell ref="AJ34:AJ35"/>
    <mergeCell ref="AI34:AI35"/>
    <mergeCell ref="N5:N6"/>
    <mergeCell ref="N9:N10"/>
    <mergeCell ref="L10:L12"/>
    <mergeCell ref="M10:M12"/>
    <mergeCell ref="A2:A33"/>
    <mergeCell ref="B2:B33"/>
    <mergeCell ref="C2:C33"/>
    <mergeCell ref="J22:J23"/>
    <mergeCell ref="D2:D33"/>
    <mergeCell ref="I32:I34"/>
    <mergeCell ref="L24:M24"/>
    <mergeCell ref="J32:J34"/>
    <mergeCell ref="K32:K34"/>
    <mergeCell ref="L32:L34"/>
    <mergeCell ref="M34:O34"/>
    <mergeCell ref="O10:O12"/>
    <mergeCell ref="J11:J12"/>
    <mergeCell ref="N24:O24"/>
    <mergeCell ref="O14:O16"/>
    <mergeCell ref="M15:M16"/>
    <mergeCell ref="J17:J18"/>
    <mergeCell ref="K17:K18"/>
    <mergeCell ref="K22:K23"/>
    <mergeCell ref="M21:M22"/>
    <mergeCell ref="N21:N22"/>
    <mergeCell ref="L21:L22"/>
  </mergeCells>
  <phoneticPr fontId="2" type="noConversion"/>
  <conditionalFormatting sqref="F37:L136">
    <cfRule type="expression" dxfId="10" priority="10" stopIfTrue="1">
      <formula>ISERROR(F37)</formula>
    </cfRule>
  </conditionalFormatting>
  <conditionalFormatting sqref="A35:A134">
    <cfRule type="expression" dxfId="9" priority="11" stopIfTrue="1">
      <formula>ROW(A35)=$U$22</formula>
    </cfRule>
  </conditionalFormatting>
  <conditionalFormatting sqref="D35:D134">
    <cfRule type="expression" dxfId="8" priority="12" stopIfTrue="1">
      <formula>AND(ROW(D35)&gt;=$J$19+$E$36,ROW(D35)&lt;=$K$19+$E$36)</formula>
    </cfRule>
  </conditionalFormatting>
  <conditionalFormatting sqref="C35:C134">
    <cfRule type="expression" dxfId="7" priority="13" stopIfTrue="1">
      <formula>AND(ROW(C35)&gt;=$J$24+$E$36,ROW(C35)&lt;=$K$24+$E$36)</formula>
    </cfRule>
  </conditionalFormatting>
  <conditionalFormatting sqref="B35:B134">
    <cfRule type="expression" dxfId="6" priority="14" stopIfTrue="1">
      <formula>ROW(B35)=$M$17+$E$36</formula>
    </cfRule>
  </conditionalFormatting>
  <conditionalFormatting sqref="O25:O31">
    <cfRule type="expression" dxfId="5" priority="6">
      <formula>($J$13=1)</formula>
    </cfRule>
  </conditionalFormatting>
  <conditionalFormatting sqref="M25:M31">
    <cfRule type="expression" dxfId="4" priority="5">
      <formula>($J$13=2)</formula>
    </cfRule>
  </conditionalFormatting>
  <conditionalFormatting sqref="L20 L23">
    <cfRule type="expression" dxfId="3" priority="4">
      <formula>($L$13&lt;&gt;1)</formula>
    </cfRule>
  </conditionalFormatting>
  <conditionalFormatting sqref="M20 M23">
    <cfRule type="expression" dxfId="2" priority="3">
      <formula>($L$13&lt;&gt;2)</formula>
    </cfRule>
  </conditionalFormatting>
  <conditionalFormatting sqref="N20 N23">
    <cfRule type="expression" dxfId="1" priority="2">
      <formula>($L$13&lt;&gt;3)</formula>
    </cfRule>
  </conditionalFormatting>
  <conditionalFormatting sqref="N11:N17">
    <cfRule type="expression" dxfId="0" priority="1">
      <formula>($L$13&lt;&gt;3)</formula>
    </cfRule>
  </conditionalFormatting>
  <pageMargins left="0.75" right="0.75" top="1" bottom="1" header="0.5" footer="0.5"/>
  <pageSetup paperSize="9" orientation="portrait" horizontalDpi="4294967294" verticalDpi="0" r:id="rId1"/>
  <headerFooter alignWithMargins="0"/>
  <ignoredErrors>
    <ignoredError sqref="O29 L23:M23 L20:M20" evalError="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K28"/>
  <sheetViews>
    <sheetView zoomScaleNormal="100" workbookViewId="0">
      <selection activeCell="C8" sqref="C8"/>
    </sheetView>
  </sheetViews>
  <sheetFormatPr defaultRowHeight="12.75" x14ac:dyDescent="0.2"/>
  <cols>
    <col min="1" max="1" width="9.140625" style="153"/>
    <col min="2" max="3" width="16.7109375" style="153" customWidth="1"/>
    <col min="4" max="16384" width="9.140625" style="153"/>
  </cols>
  <sheetData>
    <row r="1" spans="1:11" x14ac:dyDescent="0.2">
      <c r="A1" s="150" t="b">
        <v>0</v>
      </c>
      <c r="B1" s="151"/>
      <c r="C1" s="151"/>
      <c r="D1" s="152"/>
    </row>
    <row r="2" spans="1:11" x14ac:dyDescent="0.2">
      <c r="A2" s="154"/>
      <c r="B2" s="155"/>
      <c r="C2" s="155"/>
      <c r="D2" s="156"/>
    </row>
    <row r="3" spans="1:11" x14ac:dyDescent="0.2">
      <c r="A3" s="154"/>
      <c r="B3" s="155"/>
      <c r="C3" s="155"/>
      <c r="D3" s="156"/>
    </row>
    <row r="4" spans="1:11" x14ac:dyDescent="0.2">
      <c r="A4" s="157"/>
      <c r="B4" s="158"/>
      <c r="C4" s="158"/>
      <c r="D4" s="159"/>
    </row>
    <row r="6" spans="1:11" ht="20.100000000000001" customHeight="1" x14ac:dyDescent="0.2">
      <c r="B6" s="286" t="s">
        <v>92</v>
      </c>
      <c r="C6" s="287"/>
    </row>
    <row r="7" spans="1:11" ht="15.95" customHeight="1" x14ac:dyDescent="0.2">
      <c r="B7" s="284" t="s">
        <v>93</v>
      </c>
      <c r="C7" s="284"/>
    </row>
    <row r="8" spans="1:11" ht="13.5" customHeight="1" x14ac:dyDescent="0.2">
      <c r="B8" s="160" t="s">
        <v>21</v>
      </c>
      <c r="C8" s="162"/>
    </row>
    <row r="9" spans="1:11" ht="13.5" customHeight="1" x14ac:dyDescent="0.2">
      <c r="B9" s="160" t="s">
        <v>22</v>
      </c>
      <c r="C9" s="162"/>
    </row>
    <row r="10" spans="1:11" ht="13.5" customHeight="1" x14ac:dyDescent="0.2">
      <c r="B10" s="160" t="s">
        <v>23</v>
      </c>
      <c r="C10" s="162"/>
    </row>
    <row r="11" spans="1:11" x14ac:dyDescent="0.2">
      <c r="B11" s="160" t="s">
        <v>24</v>
      </c>
      <c r="C11" s="162"/>
      <c r="D11" s="288" t="s">
        <v>95</v>
      </c>
      <c r="E11" s="289"/>
      <c r="F11" s="289"/>
      <c r="G11" s="289"/>
      <c r="H11" s="289"/>
      <c r="I11" s="289"/>
      <c r="J11" s="289"/>
      <c r="K11" s="289"/>
    </row>
    <row r="12" spans="1:11" x14ac:dyDescent="0.2">
      <c r="B12" s="160" t="s">
        <v>25</v>
      </c>
      <c r="C12" s="162"/>
      <c r="D12" s="288"/>
      <c r="E12" s="289"/>
      <c r="F12" s="289"/>
      <c r="G12" s="289"/>
      <c r="H12" s="289"/>
      <c r="I12" s="289"/>
      <c r="J12" s="289"/>
      <c r="K12" s="289"/>
    </row>
    <row r="13" spans="1:11" x14ac:dyDescent="0.2">
      <c r="B13" s="160" t="s">
        <v>28</v>
      </c>
      <c r="C13" s="162"/>
      <c r="D13" s="288"/>
      <c r="E13" s="289"/>
      <c r="F13" s="289"/>
      <c r="G13" s="289"/>
      <c r="H13" s="289"/>
      <c r="I13" s="289"/>
      <c r="J13" s="289"/>
      <c r="K13" s="289"/>
    </row>
    <row r="14" spans="1:11" x14ac:dyDescent="0.2">
      <c r="B14" s="160" t="s">
        <v>29</v>
      </c>
      <c r="C14" s="162"/>
      <c r="D14" s="288"/>
      <c r="E14" s="289"/>
      <c r="F14" s="289"/>
      <c r="G14" s="289"/>
      <c r="H14" s="289"/>
      <c r="I14" s="289"/>
      <c r="J14" s="289"/>
      <c r="K14" s="289"/>
    </row>
    <row r="15" spans="1:11" ht="13.5" customHeight="1" x14ac:dyDescent="0.2">
      <c r="B15" s="160" t="s">
        <v>30</v>
      </c>
      <c r="C15" s="162"/>
      <c r="D15" s="288"/>
      <c r="E15" s="289"/>
      <c r="F15" s="289"/>
      <c r="G15" s="289"/>
      <c r="H15" s="289"/>
      <c r="I15" s="289"/>
      <c r="J15" s="289"/>
      <c r="K15" s="289"/>
    </row>
    <row r="16" spans="1:11" x14ac:dyDescent="0.2">
      <c r="B16" s="160" t="s">
        <v>47</v>
      </c>
      <c r="C16" s="162"/>
      <c r="D16" s="288"/>
      <c r="E16" s="289"/>
      <c r="F16" s="289"/>
      <c r="G16" s="289"/>
      <c r="H16" s="289"/>
      <c r="I16" s="289"/>
      <c r="J16" s="289"/>
      <c r="K16" s="289"/>
    </row>
    <row r="17" spans="2:10" x14ac:dyDescent="0.2">
      <c r="B17" s="160" t="s">
        <v>53</v>
      </c>
      <c r="C17" s="162"/>
    </row>
    <row r="18" spans="2:10" ht="15.95" customHeight="1" x14ac:dyDescent="0.2">
      <c r="B18" s="284" t="s">
        <v>94</v>
      </c>
      <c r="C18" s="285"/>
      <c r="J18" s="161"/>
    </row>
    <row r="19" spans="2:10" x14ac:dyDescent="0.2">
      <c r="B19" s="160" t="s">
        <v>35</v>
      </c>
      <c r="C19" s="162"/>
    </row>
    <row r="20" spans="2:10" x14ac:dyDescent="0.2">
      <c r="B20" s="160" t="s">
        <v>36</v>
      </c>
      <c r="C20" s="162"/>
    </row>
    <row r="21" spans="2:10" x14ac:dyDescent="0.2">
      <c r="B21" s="160" t="s">
        <v>37</v>
      </c>
      <c r="C21" s="162"/>
    </row>
    <row r="22" spans="2:10" x14ac:dyDescent="0.2">
      <c r="B22" s="160" t="s">
        <v>38</v>
      </c>
      <c r="C22" s="162"/>
    </row>
    <row r="28" spans="2:10" ht="13.5" customHeight="1" x14ac:dyDescent="0.2"/>
  </sheetData>
  <sheetProtection sheet="1" objects="1" scenarios="1"/>
  <mergeCells count="4">
    <mergeCell ref="B7:C7"/>
    <mergeCell ref="B18:C18"/>
    <mergeCell ref="B6:C6"/>
    <mergeCell ref="D11:K1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8" r:id="rId4" name="Check Box 2">
              <controlPr defaultSize="0" autoFill="0" autoLine="0" autoPict="0" altText="  Check if you want to enter parameters manually">
                <anchor>
                  <from>
                    <xdr:col>0</xdr:col>
                    <xdr:colOff>66675</xdr:colOff>
                    <xdr:row>0</xdr:row>
                    <xdr:rowOff>38100</xdr:rowOff>
                  </from>
                  <to>
                    <xdr:col>3</xdr:col>
                    <xdr:colOff>542925</xdr:colOff>
                    <xdr:row>3</xdr:row>
                    <xdr:rowOff>123825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data</vt:lpstr>
      <vt:lpstr>calculations</vt:lpstr>
      <vt:lpstr>table_input</vt:lpstr>
      <vt:lpstr>angles</vt:lpstr>
      <vt:lpstr>positiveCD2</vt:lpstr>
      <vt:lpstr>positiveCL2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ErcaN</dc:creator>
  <cp:lastModifiedBy>ErcaN</cp:lastModifiedBy>
  <dcterms:created xsi:type="dcterms:W3CDTF">1996-10-14T23:33:28Z</dcterms:created>
  <dcterms:modified xsi:type="dcterms:W3CDTF">2020-01-09T18:42:27Z</dcterms:modified>
</cp:coreProperties>
</file>